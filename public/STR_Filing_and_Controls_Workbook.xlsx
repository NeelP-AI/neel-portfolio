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F:\Project Portfolio\A2\"/>
    </mc:Choice>
  </mc:AlternateContent>
  <xr:revisionPtr revIDLastSave="0" documentId="13_ncr:1_{438BCFFC-0770-4607-9D5E-E5D4E675D297}" xr6:coauthVersionLast="45" xr6:coauthVersionMax="45" xr10:uidLastSave="{00000000-0000-0000-0000-000000000000}"/>
  <bookViews>
    <workbookView xWindow="-108" yWindow="-108" windowWidth="23256" windowHeight="12456" tabRatio="607" xr2:uid="{00000000-000D-0000-FFFF-FFFF00000000}"/>
  </bookViews>
  <sheets>
    <sheet name="1. Alert &amp; Case Log" sheetId="1" r:id="rId1"/>
    <sheet name="2. Escalation Decision Matrix" sheetId="2" r:id="rId2"/>
    <sheet name="3. STR Filing Log" sheetId="3" r:id="rId3"/>
    <sheet name="4. Capacity Model" sheetId="4" r:id="rId4"/>
    <sheet name="5. Sanctions-STR Log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8" i="1" l="1"/>
  <c r="R27" i="1"/>
  <c r="R26" i="1"/>
  <c r="R23" i="1"/>
  <c r="R13" i="1"/>
  <c r="R12" i="1"/>
  <c r="F49" i="4"/>
  <c r="F46" i="4"/>
  <c r="F44" i="4"/>
  <c r="F43" i="4"/>
  <c r="F42" i="4"/>
  <c r="B21" i="3"/>
  <c r="B20" i="3"/>
  <c r="B19" i="3"/>
  <c r="B18" i="3"/>
  <c r="H15" i="3"/>
  <c r="H14" i="3"/>
  <c r="H13" i="3"/>
  <c r="H12" i="3"/>
  <c r="H11" i="3"/>
  <c r="H10" i="3"/>
  <c r="H9" i="3"/>
  <c r="H8" i="3"/>
  <c r="H7" i="3"/>
  <c r="H6" i="3"/>
  <c r="H5" i="3"/>
  <c r="H4" i="3"/>
  <c r="F50" i="4" l="1"/>
  <c r="B22" i="3"/>
</calcChain>
</file>

<file path=xl/sharedStrings.xml><?xml version="1.0" encoding="utf-8"?>
<sst xmlns="http://schemas.openxmlformats.org/spreadsheetml/2006/main" count="778" uniqueCount="417">
  <si>
    <t>Alert ID</t>
  </si>
  <si>
    <t>Date Generated</t>
  </si>
  <si>
    <t>Client Name</t>
  </si>
  <si>
    <t>Client Risk
Rating</t>
  </si>
  <si>
    <t>Alert Type</t>
  </si>
  <si>
    <t>Transaction
Amount (USD)</t>
  </si>
  <si>
    <t>Triage Outcome
(Close / Escalate)</t>
  </si>
  <si>
    <t>Triage Date</t>
  </si>
  <si>
    <t>Triage Owner</t>
  </si>
  <si>
    <t>Triage SLA
Met? (Y/N)</t>
  </si>
  <si>
    <t>Case ID
(if escalated)</t>
  </si>
  <si>
    <t>Investigation
Owner</t>
  </si>
  <si>
    <t>Investigation
Completed Date</t>
  </si>
  <si>
    <t>PO Review
Date</t>
  </si>
  <si>
    <t>PO Decision
(File/Close/Further)</t>
  </si>
  <si>
    <t>STR Reference
Number</t>
  </si>
  <si>
    <t>Filing Date</t>
  </si>
  <si>
    <t>Days: PO
Conclusion→Filing</t>
  </si>
  <si>
    <t>Filing SLA
Status</t>
  </si>
  <si>
    <t>Post-Filing
Review Date</t>
  </si>
  <si>
    <t>Sanctions
Flag (Y/N)</t>
  </si>
  <si>
    <t>Case Status</t>
  </si>
  <si>
    <t>Sunrise Capital Holdings Ltd</t>
  </si>
  <si>
    <t>High</t>
  </si>
  <si>
    <t>Escalate</t>
  </si>
  <si>
    <t>Priya Mehta</t>
  </si>
  <si>
    <t>Y</t>
  </si>
  <si>
    <t>File STR</t>
  </si>
  <si>
    <t>Green</t>
  </si>
  <si>
    <t>N</t>
  </si>
  <si>
    <t>Al Farouq Trading FZE</t>
  </si>
  <si>
    <t>Rohan Desai</t>
  </si>
  <si>
    <t>Pinnacle Infrastructure Pvt Ltd</t>
  </si>
  <si>
    <t>Medium</t>
  </si>
  <si>
    <t>High-value transfer to high-risk jurisdiction (Iran-linked intermediary)</t>
  </si>
  <si>
    <t>Meridian Credit Partners LLC</t>
  </si>
  <si>
    <t>N/A</t>
  </si>
  <si>
    <t>Coastal Commodities Ltd</t>
  </si>
  <si>
    <t>Low</t>
  </si>
  <si>
    <t>Close</t>
  </si>
  <si>
    <t>Unusual cash conversion pattern</t>
  </si>
  <si>
    <t>Further Investigation</t>
  </si>
  <si>
    <t>Amber</t>
  </si>
  <si>
    <t>Multiple small inbound transfers from unrelated parties</t>
  </si>
  <si>
    <t>Account dormancy followed by large transaction</t>
  </si>
  <si>
    <t>Wire transfer to FATF grey-list jurisdiction</t>
  </si>
  <si>
    <t>Under Investigation</t>
  </si>
  <si>
    <t>Red</t>
  </si>
  <si>
    <t>Blue shading</t>
  </si>
  <si>
    <t>Clause 10.2 IFSCA AML/CFT &amp; KYC Guidelines 2022 (updated Feb 2026) | PMLA Rule 3 | For use by: Compliance Executive, Principal Officer</t>
  </si>
  <si>
    <t>Gate #</t>
  </si>
  <si>
    <t>Decision Question</t>
  </si>
  <si>
    <t>Criteria for CLOSE
(No further action)</t>
  </si>
  <si>
    <t>Criteria for ESCALATE
(Open Case)</t>
  </si>
  <si>
    <t>Documentation Required
(Close)</t>
  </si>
  <si>
    <t>Documentation Required
(Escalate)</t>
  </si>
  <si>
    <t>SLA</t>
  </si>
  <si>
    <t>Owner</t>
  </si>
  <si>
    <t>A-1</t>
  </si>
  <si>
    <t>Is the alert based on a transaction that is consistent with the client's known profile, risk rating, and historical transaction pattern?</t>
  </si>
  <si>
    <t>Transaction falls within expected volume, frequency, counterparty profile, and geography for this client. No new or unusual elements.</t>
  </si>
  <si>
    <t>Transaction is materially inconsistent with client profile in one or more dimensions: volume, frequency, geography, counterparty, or stated purpose.</t>
  </si>
  <si>
    <t>Open case. Record alert-to-case linkage. Assign investigation owner. Note specific inconsistency that triggered escalation.</t>
  </si>
  <si>
    <t>24 hrs from alert receipt</t>
  </si>
  <si>
    <t>Compliance Executive</t>
  </si>
  <si>
    <t>A-2</t>
  </si>
  <si>
    <t>Does the alert relate to a client or counterparty appearing on a sanctions list (UNSC, UAPA, OFAC, EU)?</t>
  </si>
  <si>
    <t>Screening confirms no match after manual review of name, date of birth, jurisdiction. False positive documented.</t>
  </si>
  <si>
    <t>False positive log: document screening result, manual review rationale, reviewer name, date.</t>
  </si>
  <si>
    <t>Escalate to PO immediately regardless of case status. Open sanctions case. Log in Sanctions-to-STR Decision Log (Tab 5).</t>
  </si>
  <si>
    <t>Immediate (same business day)</t>
  </si>
  <si>
    <t>Compliance Executive → PO same day</t>
  </si>
  <si>
    <t>A-3</t>
  </si>
  <si>
    <t>Does the alert relate to a transaction with no apparent economic rationale or legitimate purpose?</t>
  </si>
  <si>
    <t>Client has provided a credible explanation consistent with known business activities. Explanation documented.</t>
  </si>
  <si>
    <t>No credible explanation exists or client is uncontactable. Transaction appears designed to disguise origin or purpose of funds.</t>
  </si>
  <si>
    <t>Record client explanation verbatim. Note why explanation was accepted. Triage owner sign-off.</t>
  </si>
  <si>
    <t>Open case. Document that client explanation was absent, insufficient, or inconsistent. Do not tip off client.</t>
  </si>
  <si>
    <t>24–48 hrs from alert receipt</t>
  </si>
  <si>
    <t>A-4</t>
  </si>
  <si>
    <t>Does the alert involve a PEP, PEP family member, or PEP close associate?</t>
  </si>
  <si>
    <t>PEP status confirmed but transaction is routine, within expected profile, and no additional risk factors present.</t>
  </si>
  <si>
    <t>PEP status confirmed AND transaction is unusual, high-value, involves opaque counterparties, or has no clear purpose.</t>
  </si>
  <si>
    <t>Record PEP status confirmation. Note transaction is routine. Senior management notification not required.</t>
  </si>
  <si>
    <t>Open case. Notify PO immediately. Heightened investigation standard applies. Source of wealth verification may be required.</t>
  </si>
  <si>
    <t>Compliance Executive → PO notification</t>
  </si>
  <si>
    <t>A-5</t>
  </si>
  <si>
    <t>Does the alert relate to a client whose CDD is incomplete, overdue for periodic review, or where identity cannot be verified?</t>
  </si>
  <si>
    <t>CDD is complete and current. Periodic review not yet due. Identity fully verified.</t>
  </si>
  <si>
    <t>CDD is incomplete, overdue, or a trigger event has occurred. Cannot verify identity. Business relationship must be reviewed.</t>
  </si>
  <si>
    <t>Open case. Flag CDD failure as additional risk factor. Consider whether incomplete CDD itself warrants STR (Clause 5.10 IFSCA Guidelines).</t>
  </si>
  <si>
    <t>48 hrs from alert receipt</t>
  </si>
  <si>
    <t>Criteria for CLOSE
(No STR)</t>
  </si>
  <si>
    <t>Criteria for FILE STR
(Refer to PO)</t>
  </si>
  <si>
    <t>Documentation Required
(File)</t>
  </si>
  <si>
    <t>SLA from
Case Open</t>
  </si>
  <si>
    <t>B-1</t>
  </si>
  <si>
    <t>After full investigation, is there a reasonable ground to suspect that the transaction may involve proceeds of a scheduled offence under PMLA, or financing of terrorism?</t>
  </si>
  <si>
    <t>Investigation has identified a credible, legitimate explanation for the transaction consistent with client profile and source of funds. No reasonable grounds for suspicion remain.</t>
  </si>
  <si>
    <t>Investigation summary: document all steps taken, client records reviewed, explanations considered, conclusion rationale. Compliance Executive sign-off.</t>
  </si>
  <si>
    <t>Refer to PO with investigation summary. PO makes final filing decision. Do not delay referral pending further clarification unless PO directs otherwise.</t>
  </si>
  <si>
    <t>10 business days from case open</t>
  </si>
  <si>
    <t>B-2</t>
  </si>
  <si>
    <t>Has the investigation identified any of the following aggravating factors: structuring, layering, use of shell entities, round-tripping, PEP involvement, or high-risk jurisdiction exposure?</t>
  </si>
  <si>
    <t>No aggravating factors identified. Transaction explained by client's legitimate business activities.</t>
  </si>
  <si>
    <t>One or more aggravating factors confirmed. These do not automatically require STR but significantly elevate the suspicion threshold. PO referral required.</t>
  </si>
  <si>
    <t>Record absence of aggravating factors explicitly in investigation notes.</t>
  </si>
  <si>
    <t>List all aggravating factors identified. Cross-reference against client risk rating. If risk rating requires upgrade, flag separately.</t>
  </si>
  <si>
    <t>At investigation conclusion</t>
  </si>
  <si>
    <t>B-3</t>
  </si>
  <si>
    <t>Is the client currently subject to a sanctions screening hold, or was a sanctions hit identified during investigation?</t>
  </si>
  <si>
    <t>No sanctions exposure confirmed. False positive documented. Transaction cleared.</t>
  </si>
  <si>
    <t>Sanctions clearance documented. Case closed. Record in Tab 5.</t>
  </si>
  <si>
    <t>STR referral mandatory. Sanctions hold maintained pending PO decision. MHA notification may be required under UAPA.</t>
  </si>
  <si>
    <t>Immediate on confirmation</t>
  </si>
  <si>
    <t>B-4</t>
  </si>
  <si>
    <t>For a previously reported client (supplementary STR scenario): has new suspicious activity been identified that is connected to or escalates the original suspicion?</t>
  </si>
  <si>
    <t>New activity is connected to or materially escalates the original suspicion. Supplementary STR required. Cross-reference original STR reference number.</t>
  </si>
  <si>
    <t>Note in case file that new activity was reviewed and found unconnected. Record basis for conclusion.</t>
  </si>
  <si>
    <t>File supplementary STR referencing original STR number. PO review required before supplementary filing. Log in Tab 3.</t>
  </si>
  <si>
    <t>10 business days from trigger</t>
  </si>
  <si>
    <t>PMLA Rule 7 | Clause 10.3 IFSCA AML/CFT &amp; KYC Guidelines 2022 | STR filed 'promptly on conclusion' per Circular dated Oct 2023 | Retention: 6 years from filing</t>
  </si>
  <si>
    <t>Alert ID
(Source)</t>
  </si>
  <si>
    <t>Case ID
(Source)</t>
  </si>
  <si>
    <t>PO Conclusion
Date</t>
  </si>
  <si>
    <t>Filing Date
(FIU-IND Portal)</t>
  </si>
  <si>
    <t>Days:
PO→Filing</t>
  </si>
  <si>
    <t>FIU-IND
Acknowledgement Date</t>
  </si>
  <si>
    <t>Supplementary
STR (Y/N)</t>
  </si>
  <si>
    <t>Original STR Ref
(if supplementary)</t>
  </si>
  <si>
    <t>Record Retention
Expiry Date</t>
  </si>
  <si>
    <t>SUMMARY STATISTICS</t>
  </si>
  <si>
    <t>Total STRs Filed (YTD)</t>
  </si>
  <si>
    <t>Supplementary STRs</t>
  </si>
  <si>
    <t>Sanctions-Triggered STRs</t>
  </si>
  <si>
    <t>All Filed Within SLA (Green)</t>
  </si>
  <si>
    <t>Average Days PO→Filing</t>
  </si>
  <si>
    <t>Year 1: Manual baseline | Year 2: Automation-assisted target | Escalation trigger: ≥105 alerts/month sustained for 2+ months</t>
  </si>
  <si>
    <t>Assumption</t>
  </si>
  <si>
    <t>Value</t>
  </si>
  <si>
    <t>Notes</t>
  </si>
  <si>
    <t>Team Size</t>
  </si>
  <si>
    <t>3 FTE</t>
  </si>
  <si>
    <t>Compliance Executive (2) + Principal Officer (oversight, not full-time on alerts)</t>
  </si>
  <si>
    <t>Available hours per CE per month</t>
  </si>
  <si>
    <t>Based on 20 working days × 8 hours</t>
  </si>
  <si>
    <t>PO available hours for STR review/filing</t>
  </si>
  <si>
    <t>alerts/month</t>
  </si>
  <si>
    <t>Triage time per alert (Year 1 manual)</t>
  </si>
  <si>
    <t>Triage time per alert (Year 2 automated)</t>
  </si>
  <si>
    <t>Escalation rate (triage → case)</t>
  </si>
  <si>
    <t>Based on 80-120 alerts: expect 14-22 cases/month</t>
  </si>
  <si>
    <t>Investigation time per case (Year 1)</t>
  </si>
  <si>
    <t>Investigation time per case (Year 2)</t>
  </si>
  <si>
    <t>PO review time per case referred</t>
  </si>
  <si>
    <t>Filing time per STR (Year 1)</t>
  </si>
  <si>
    <t>Filing time per STR (Year 2)</t>
  </si>
  <si>
    <t>STR filing rate (cases → STR filed)</t>
  </si>
  <si>
    <t>Post-filing monitoring per STR per month</t>
  </si>
  <si>
    <t>Escalation trigger threshold</t>
  </si>
  <si>
    <t>Month</t>
  </si>
  <si>
    <t>Alert
Volume</t>
  </si>
  <si>
    <t>Triage
Hrs (CE)</t>
  </si>
  <si>
    <t>Cases
Opened</t>
  </si>
  <si>
    <t>Investigation
Hrs (CE)</t>
  </si>
  <si>
    <t>STRs
Filed</t>
  </si>
  <si>
    <t>PO Review
Hrs</t>
  </si>
  <si>
    <t>Filing
Hrs (CE)</t>
  </si>
  <si>
    <t>Post-Filing
Monitoring (CE)</t>
  </si>
  <si>
    <t>Total CE
Hrs Required</t>
  </si>
  <si>
    <t>CE Hrs
Available</t>
  </si>
  <si>
    <t>Surplus /
(Deficit)</t>
  </si>
  <si>
    <t>Capacity
Status</t>
  </si>
  <si>
    <t>OK</t>
  </si>
  <si>
    <t>Process Step</t>
  </si>
  <si>
    <t>Year 1
Manual Time</t>
  </si>
  <si>
    <t>Year 2
Auto Time</t>
  </si>
  <si>
    <t>Time Saved
per Unit</t>
  </si>
  <si>
    <t>Monthly
Volume (Base)</t>
  </si>
  <si>
    <t>Monthly Hrs
Saved (Base)</t>
  </si>
  <si>
    <t>Automation
Feasibility</t>
  </si>
  <si>
    <t>Automation
Approach</t>
  </si>
  <si>
    <t>Est. Build
Effort</t>
  </si>
  <si>
    <t>Priority
(ROI Rank)</t>
  </si>
  <si>
    <t>Alert triage pre-screening</t>
  </si>
  <si>
    <t>0.75 hrs/alert</t>
  </si>
  <si>
    <t>0.30 hrs/alert</t>
  </si>
  <si>
    <t>0.45 hrs</t>
  </si>
  <si>
    <t>TM system auto-closes alerts below risk threshold. CE reviews flagged alerts only. Rule-based logic.</t>
  </si>
  <si>
    <t>4–6 weeks</t>
  </si>
  <si>
    <t>Case chronology generation</t>
  </si>
  <si>
    <t>2.0 hrs/case</t>
  </si>
  <si>
    <t>0.75 hrs/case</t>
  </si>
  <si>
    <t>System auto-pulls transaction history, CDD status, prior alerts, risk rating into standardised investigation template.</t>
  </si>
  <si>
    <t>3–4 weeks</t>
  </si>
  <si>
    <t>STR form auto-population</t>
  </si>
  <si>
    <t>2.0 hrs/STR</t>
  </si>
  <si>
    <t>0.75 hrs/STR</t>
  </si>
  <si>
    <t>Mapped fields from investigation template auto-populate FIU-IND STR format. CE reviews and submits.</t>
  </si>
  <si>
    <t>4–5 weeks</t>
  </si>
  <si>
    <t>SLA breach alerting</t>
  </si>
  <si>
    <t>Manual tracking</t>
  </si>
  <si>
    <t>Automated</t>
  </si>
  <si>
    <t>0.5 hrs/week</t>
  </si>
  <si>
    <t>Weekly</t>
  </si>
  <si>
    <t>Excel/system flags alert approaching triage SLA, case approaching investigation SLA, PO review due.</t>
  </si>
  <si>
    <t>1–2 weeks</t>
  </si>
  <si>
    <t>Post-filing monitoring reminders</t>
  </si>
  <si>
    <t>0.5 hrs/STR/month</t>
  </si>
  <si>
    <t>0.1 hrs/STR/month</t>
  </si>
  <si>
    <t>0.4 hrs</t>
  </si>
  <si>
    <t>Scheduled reminder at 30 days post-filing. CE reviews client activity. Closes loop or opens supplementary case.</t>
  </si>
  <si>
    <t>2 weeks</t>
  </si>
  <si>
    <t>MI reporting dashboard</t>
  </si>
  <si>
    <t>3.0 hrs/month</t>
  </si>
  <si>
    <t>0.5 hrs/month</t>
  </si>
  <si>
    <t>2.5 hrs/month</t>
  </si>
  <si>
    <t>Power BI dashboard on scheduled refresh. Pulls from Alert Log and Filing Log. PO views real-time.</t>
  </si>
  <si>
    <t>3 weeks</t>
  </si>
  <si>
    <t>Sanctions screening integration</t>
  </si>
  <si>
    <t>Manual cross-check</t>
  </si>
  <si>
    <t>Auto-flag</t>
  </si>
  <si>
    <t>1.0 hr/hit</t>
  </si>
  <si>
    <t>5 hits/month</t>
  </si>
  <si>
    <t>TM system cross-references UNSC/UAPA lists at alert triage. Confirmed hits escalated directly to PO queue.</t>
  </si>
  <si>
    <t>6–8 weeks</t>
  </si>
  <si>
    <t>Investigation documentation</t>
  </si>
  <si>
    <t>4.0 hrs/case</t>
  </si>
  <si>
    <t>0.75 hrs</t>
  </si>
  <si>
    <t>1 week</t>
  </si>
  <si>
    <t>ESTIMATED TOTAL MONTHLY HOURS SAVED AT BASE VOLUME (Year 2 vs Year 1):</t>
  </si>
  <si>
    <t>hrs/month freed at base volume (100 alerts)</t>
  </si>
  <si>
    <t>Sanctions
Hit ID</t>
  </si>
  <si>
    <t>Date of
Hit</t>
  </si>
  <si>
    <t>Client /
Counterparty</t>
  </si>
  <si>
    <t>Hit Type
(Name/Country/Transaction)</t>
  </si>
  <si>
    <t>List Matched
(UNSC/UAPA/OFAC/EU)</t>
  </si>
  <si>
    <t>Hit Confirmed
(Y/N / Probable)</t>
  </si>
  <si>
    <t>Manual Review
Outcome</t>
  </si>
  <si>
    <t>Transaction
Blocked (Y/N)</t>
  </si>
  <si>
    <t>STR Assessment
Outcome</t>
  </si>
  <si>
    <t>STR Reference
(if filed)</t>
  </si>
  <si>
    <t>PO Sign-Off
Date</t>
  </si>
  <si>
    <t>PO Sign-Off
By</t>
  </si>
  <si>
    <t>MHA Notification
Required (Y/N)</t>
  </si>
  <si>
    <t>Notes / Rationale</t>
  </si>
  <si>
    <t>Name Match</t>
  </si>
  <si>
    <t>UNSC 1267 (ISIL/Al-Qaida List)</t>
  </si>
  <si>
    <t>Probable</t>
  </si>
  <si>
    <t>Manual review: surname match. DOB differs by 2 years. Country of origin matches. Escalated to PO for determination.</t>
  </si>
  <si>
    <t>Ananya Krishnan (PO)</t>
  </si>
  <si>
    <t>Confirmed probable match after PO review. STR filed same day as PO conclusion. MHA notified per UAPA Order Feb 2021.</t>
  </si>
  <si>
    <t>Country / Jurisdiction</t>
  </si>
  <si>
    <t>UNSC Iran Sanctions</t>
  </si>
  <si>
    <t>Wire blocked at correspondent stage. STR filed for attempted transaction with sanctioned institution. Client notified funds returned.</t>
  </si>
  <si>
    <t>OFAC SDN List</t>
  </si>
  <si>
    <t>No STR Required</t>
  </si>
  <si>
    <t>False positive confirmed. Detailed false positive documentation retained. Transaction released after PO sign-off.</t>
  </si>
  <si>
    <t>EU Consolidated Sanctions List</t>
  </si>
  <si>
    <t>False positive confirmed. Two separate individuals with same name. Transaction released. False positive log updated.</t>
  </si>
  <si>
    <t>Transaction Pattern</t>
  </si>
  <si>
    <t>Pattern review: third transaction in 60 days to same Oman correspondent. Prior two transactions cleared. Current transaction 4x prior average volume. Escalated for investigation.</t>
  </si>
  <si>
    <t>TBC</t>
  </si>
  <si>
    <t>STR OPERATIONS - ALERT &amp; CASE LOG</t>
  </si>
  <si>
    <t>IFSCA AML/CFT &amp; KYC Guidelines 2022 (updated Feb 2026) | Clause 10.1–10.4 | PMLA Rules 3 &amp; 7 | Neel Parekh - Compliance Execution Portfolio</t>
  </si>
  <si>
    <t>Unusual wire transfer pattern - multiple transfers split below reporting threshold</t>
  </si>
  <si>
    <t>Closed - STR Filed</t>
  </si>
  <si>
    <t>Transaction inconsistent with client profile - large credit from unrelated third party</t>
  </si>
  <si>
    <t>Closed - STR Filed (Sanctions Flag)</t>
  </si>
  <si>
    <t>Round-tripping pattern - funds in and out within 48 hours</t>
  </si>
  <si>
    <t>Close - No Suspicion</t>
  </si>
  <si>
    <t>Closed - No STR</t>
  </si>
  <si>
    <t>Transaction volume spike - 300% above 6-month average</t>
  </si>
  <si>
    <t>Closed - Triage</t>
  </si>
  <si>
    <t>Structuring pattern - 6 transactions of USD 9,800 over 3 days</t>
  </si>
  <si>
    <t>Sanctions name match - beneficial owner surname match on UNSC list</t>
  </si>
  <si>
    <t>Closed - STR Filed (Sanctions)</t>
  </si>
  <si>
    <t>No economic rationale - large loan disbursement immediately transferred offshore</t>
  </si>
  <si>
    <t>Transaction to newly onboarded correspondent - below threshold</t>
  </si>
  <si>
    <t>PEP connection identified - third-party beneficiary is a PEP family member</t>
  </si>
  <si>
    <t>Under Review - Further Investigation</t>
  </si>
  <si>
    <t>Source of funds unclear - customer unable to provide documentation</t>
  </si>
  <si>
    <t>Unusual early loan repayment - full repayment within 30 days of drawdown</t>
  </si>
  <si>
    <t>Trade finance discrepancy - invoice value mismatches underlying trade documents</t>
  </si>
  <si>
    <t>Closed - Supplementary STR Filed</t>
  </si>
  <si>
    <t>Complex wire chain - funds routed through 4 jurisdictions with no apparent purpose</t>
  </si>
  <si>
    <t>Unusual counterparty - first transaction with unknown entity</t>
  </si>
  <si>
    <t>CDD trigger - periodic review overdue, high-risk client</t>
  </si>
  <si>
    <t>Transaction monitoring threshold breach - single credit 400% above monthly average</t>
  </si>
  <si>
    <t>Loan proceeds not used for stated purpose - diverted to unrelated account</t>
  </si>
  <si>
    <t>Beneficial owner change - new BO in high-risk jurisdiction not disclosed at onboarding</t>
  </si>
  <si>
    <t>Duplicate payment - same beneficiary, same amount, 24 hours apart</t>
  </si>
  <si>
    <t>LEGEND - Filing SLA Status &amp; Case Status Colours</t>
  </si>
  <si>
    <t>STR filed promptly on PO conclusion - within same business day</t>
  </si>
  <si>
    <t>Filing pending or further investigation ordered - within 48 hrs</t>
  </si>
  <si>
    <t>SLA breach - escalation to Principal Officer required</t>
  </si>
  <si>
    <t>STR filed - case closed</t>
  </si>
  <si>
    <t>STR OPERATIONS - ESCALATION DECISION MATRIX</t>
  </si>
  <si>
    <t>SECTION A - ALERT TRIAGE: Close vs Escalate to Case</t>
  </si>
  <si>
    <t>Alert notes: 'Reviewed - consistent with client profile. No further action.' Triage owner sign-off.</t>
  </si>
  <si>
    <t>Confirmed or probable match on any sanctions list. Even a probable match requires escalation - PO must be notified same day.</t>
  </si>
  <si>
    <t>Confirm CDD status in client record. Note alert basis. Close alert - refer CDD issue to KYC team separately.</t>
  </si>
  <si>
    <t>SECTION B - INVESTIGATION OUTCOME: Filing Recommendation vs Close</t>
  </si>
  <si>
    <t>Investigation has not produced a credible explanation. Reasonable grounds for suspicion exist - even if certainty is not established. The standard is 'reasonable grounds', not proof.</t>
  </si>
  <si>
    <t>Sanctions exposure confirmed - whether on client, beneficial owner, counterparty, or correspondent. File STR and report to PO immediately. Also refer to Sanctions-to-STR Decision Log.</t>
  </si>
  <si>
    <t>New activity reviewed - no connection to original suspicion. New activity explained by changed client circumstances. No supplementary STR required.</t>
  </si>
  <si>
    <t>KEY PRINCIPLE (Clause 10.2, IFSCA Guidelines): The standard for STR filing is 'reasonable grounds to suspect' - not certainty, not proof beyond reasonable doubt. When in doubt, refer to PO. The PO makes the final decision. The Compliance Executive's role is to investigate thoroughly and document completely.</t>
  </si>
  <si>
    <t>STR OPERATIONS - STR FILING LOG WITH SLA TRACKING</t>
  </si>
  <si>
    <t>STR OPERATIONS - CAPACITY MODEL (3-PERSON TEAM | 80–120 ALERTS/MONTH)</t>
  </si>
  <si>
    <t>SECTION 1 - MODEL ASSUMPTIONS</t>
  </si>
  <si>
    <t>PO has BAU responsibilities - 20 hrs/month allocated to STR</t>
  </si>
  <si>
    <t>Alert volume - Low scenario</t>
  </si>
  <si>
    <t>Alert volume - Base scenario</t>
  </si>
  <si>
    <t>Alert volume - High scenario</t>
  </si>
  <si>
    <t>alerts/month - stress test</t>
  </si>
  <si>
    <t>hours - review TM output, check client profile, log outcome</t>
  </si>
  <si>
    <t>hours - system pre-screens, CE reviews flagged only</t>
  </si>
  <si>
    <t>hours - full case review, documentation, PO briefing pack</t>
  </si>
  <si>
    <t>hours - automated case chronology, templated output</t>
  </si>
  <si>
    <t>hours - review investigation pack, make filing decision</t>
  </si>
  <si>
    <t>hours - manual form completion, portal upload, validation</t>
  </si>
  <si>
    <t>hours - auto-populated form, CE reviews and submits</t>
  </si>
  <si>
    <t>Estimated from decision matrix - 35% closed at investigation</t>
  </si>
  <si>
    <t>hours - monthly check for supplementary activity</t>
  </si>
  <si>
    <t>alerts/month - if sustained 2+ months, request headcount review</t>
  </si>
  <si>
    <t>SECTION 2 - MONTHLY CAPACITY MODEL: HOURS REQUIRED vs AVAILABLE (YEAR 1 MANUAL)</t>
  </si>
  <si>
    <t>SECTION 3 - AUTOMATION ROADMAP: CAPACITY ROI BY PROCESS STEP</t>
  </si>
  <si>
    <t>Templating reduces time but human judgment remains central. Cannot be automated - only structured.</t>
  </si>
  <si>
    <t>STR OPERATIONS - SANCTIONS SCREENING HIT TO STR DECISION LOG</t>
  </si>
  <si>
    <t>Clause 5.9 &amp; 7.3–7.5 IFSCA Guidelines | Section 51A UAPA | UNSC Resolution Compliance | Every sanctions hit must be assessed for STR potential - a hit is not automatic STR but must be documented</t>
  </si>
  <si>
    <t>Al Farouq Trading FZE - Beneficial Owner: Yusuf Al-Rashid</t>
  </si>
  <si>
    <t>Y - transaction held</t>
  </si>
  <si>
    <t>Meridian Credit Partners LLC - Wire to Iranian intermediary bank</t>
  </si>
  <si>
    <t>Y - Country confirmed</t>
  </si>
  <si>
    <t>Transaction routed through Parsian Bank Tehran - UNSC-designated institution. No client name match.</t>
  </si>
  <si>
    <t>Y - wire blocked</t>
  </si>
  <si>
    <t>STR Filed - sanctions-violating attempt</t>
  </si>
  <si>
    <t>Pinnacle Infrastructure Pvt Ltd - Counterparty: Dragon Peak Holdings</t>
  </si>
  <si>
    <t>N - False Positive</t>
  </si>
  <si>
    <t>Manual review: different entity, same name. Dragon Peak Holdings (Singapore) - different incorporation date, directors, jurisdiction from OFAC-listed entity.</t>
  </si>
  <si>
    <t>N - transaction released</t>
  </si>
  <si>
    <t>Sunrise Capital Holdings Ltd - Director: Mikhail Petrov</t>
  </si>
  <si>
    <t>Manual review: Mikhail Petrov (Indian national, DOB 1978) - does not match EU-listed Mikhail Petrov (Russian national, DOB 1965). Different photograph, nationality, date of birth.</t>
  </si>
  <si>
    <t>Al Farouq Trading FZE - Transaction to Oman-based entity</t>
  </si>
  <si>
    <t>Internal Watchlist - High-Risk Jurisdiction</t>
  </si>
  <si>
    <t>Y - Internal flag</t>
  </si>
  <si>
    <t>N - under review</t>
  </si>
  <si>
    <t>PO ordered full case investigation. Transaction held pending outcome. Not a confirmed sanctions match - internal watchlist trigger. STR decision pending investigation conclusion.</t>
  </si>
  <si>
    <t>KEY PRINCIPLE: A sanctions hit is NOT an automatic STR. It requires: (1) manual review to confirm or rule out match, (2) PO sign-off on outcome, (3) STR assessment - if a sanctions-violating transaction was attempted or completed, STR to FIU-IND is required. Where confirmed UNSC/UAPA match: MHA notification also required per UAPA Order. No tipping-off of client at any stage (Clause 10.4).</t>
  </si>
  <si>
    <t>ALT-2026-001</t>
  </si>
  <si>
    <t>CASE-2026-001</t>
  </si>
  <si>
    <t>STR-2026-001</t>
  </si>
  <si>
    <t>ALT-2026-002</t>
  </si>
  <si>
    <t>CASE-2026-002</t>
  </si>
  <si>
    <t>STR-2026-002</t>
  </si>
  <si>
    <t>ALT-2026-003</t>
  </si>
  <si>
    <t>CASE-2026-003</t>
  </si>
  <si>
    <t>STR-2026-003</t>
  </si>
  <si>
    <t>ALT-2026-004</t>
  </si>
  <si>
    <t>CASE-2026-004</t>
  </si>
  <si>
    <t>ALT-2026-005</t>
  </si>
  <si>
    <t>ALT-2026-006</t>
  </si>
  <si>
    <t>CASE-2026-005</t>
  </si>
  <si>
    <t>STR-2026-004</t>
  </si>
  <si>
    <t>ALT-2026-007</t>
  </si>
  <si>
    <t>CASE-2026-006</t>
  </si>
  <si>
    <t>STR-2026-005</t>
  </si>
  <si>
    <t>ALT-2026-008</t>
  </si>
  <si>
    <t>CASE-2026-007</t>
  </si>
  <si>
    <t>STR-2026-006</t>
  </si>
  <si>
    <t>ALT-2026-009</t>
  </si>
  <si>
    <t>ALT-2026-010</t>
  </si>
  <si>
    <t>ALT-2026-011</t>
  </si>
  <si>
    <t>CASE-2026-008</t>
  </si>
  <si>
    <t>ALT-2026-012</t>
  </si>
  <si>
    <t>CASE-2026-009</t>
  </si>
  <si>
    <t>STR-2026-007</t>
  </si>
  <si>
    <t>ALT-2026-013</t>
  </si>
  <si>
    <t>CASE-2026-010</t>
  </si>
  <si>
    <t>ALT-2026-014</t>
  </si>
  <si>
    <t>CASE-2026-011</t>
  </si>
  <si>
    <t>STR-2026-008</t>
  </si>
  <si>
    <t>ALT-2026-015</t>
  </si>
  <si>
    <t>ALT-2026-016</t>
  </si>
  <si>
    <t>Supplementary activity - client previously reported (STR-2026-001) shows renewed pattern</t>
  </si>
  <si>
    <t>CASE-2026-012</t>
  </si>
  <si>
    <t>STR-2026-009 (Supplementary)</t>
  </si>
  <si>
    <t>ALT-2026-017</t>
  </si>
  <si>
    <t>CASE-2026-013</t>
  </si>
  <si>
    <t>STR-2026-010</t>
  </si>
  <si>
    <t>ALT-2026-018</t>
  </si>
  <si>
    <t>CASE-2026-014</t>
  </si>
  <si>
    <t>ALT-2026-019</t>
  </si>
  <si>
    <t>CASE-2026-015</t>
  </si>
  <si>
    <t>STR-2026-011</t>
  </si>
  <si>
    <t>ALT-2026-020</t>
  </si>
  <si>
    <t>ALT-2026-021</t>
  </si>
  <si>
    <t>CASE-2026-016</t>
  </si>
  <si>
    <t>ALT-2026-022</t>
  </si>
  <si>
    <t>CASE-2026-017</t>
  </si>
  <si>
    <t>STR-2026-012</t>
  </si>
  <si>
    <t>ALT-2026-023</t>
  </si>
  <si>
    <t>CASE-2026-018</t>
  </si>
  <si>
    <t>ALT-2026-024</t>
  </si>
  <si>
    <t>CASE-2026-019</t>
  </si>
  <si>
    <t>ALT-2026-026</t>
  </si>
  <si>
    <t>1.26 hrs</t>
  </si>
  <si>
    <t>3.26 hrs/case</t>
  </si>
  <si>
    <t>SAN-2026-001</t>
  </si>
  <si>
    <t>STR Filed - STR-2026-005</t>
  </si>
  <si>
    <t>Y - MHA notified 11-Feb-26</t>
  </si>
  <si>
    <t>SAN-2026-002</t>
  </si>
  <si>
    <t>STR-2026-006 (cross-referenced)</t>
  </si>
  <si>
    <t>SAN-2026-003</t>
  </si>
  <si>
    <t>SAN-2026-004</t>
  </si>
  <si>
    <t>SAN-2026-005</t>
  </si>
  <si>
    <t>STR Assessment Pending - CASE-2026-017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</si>
</sst>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555555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Arial"/>
      <charset val="1"/>
    </font>
    <font>
      <b/>
      <i/>
      <sz val="8"/>
      <color rgb="FF1F3864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0F4"/>
        <bgColor rgb="FFF2F4F8"/>
      </patternFill>
    </fill>
    <fill>
      <patternFill patternType="solid">
        <fgColor rgb="FFF2F4F8"/>
        <bgColor rgb="FFEEF0F4"/>
      </patternFill>
    </fill>
    <fill>
      <patternFill patternType="solid">
        <fgColor rgb="FFE2EFDA"/>
        <bgColor rgb="FFEEF0F4"/>
      </patternFill>
    </fill>
    <fill>
      <patternFill patternType="solid">
        <fgColor rgb="FFDDEEFF"/>
        <bgColor rgb="FFDCE3EF"/>
      </patternFill>
    </fill>
    <fill>
      <patternFill patternType="solid">
        <fgColor rgb="FFFFFFFF"/>
        <bgColor rgb="FFF2F4F8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9A94A"/>
        <bgColor rgb="FFAAAAAA"/>
      </patternFill>
    </fill>
    <fill>
      <patternFill patternType="solid">
        <fgColor rgb="FFD9E1F2"/>
        <bgColor rgb="FFDCE3EF"/>
      </patternFill>
    </fill>
    <fill>
      <patternFill patternType="solid">
        <fgColor rgb="FFDCE3EF"/>
        <bgColor rgb="FFD9E1F2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5" fillId="6" borderId="1" xfId="0" applyFont="1" applyFill="1" applyBorder="1"/>
    <xf numFmtId="15" fontId="4" fillId="4" borderId="1" xfId="0" applyNumberFormat="1" applyFont="1" applyFill="1" applyBorder="1" applyAlignment="1">
      <alignment horizontal="center" vertical="center" wrapText="1"/>
    </xf>
    <xf numFmtId="15" fontId="4" fillId="7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5" fontId="4" fillId="4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5" fontId="4" fillId="7" borderId="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5" fontId="4" fillId="8" borderId="3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" fillId="1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9" fontId="8" fillId="4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5" fontId="6" fillId="4" borderId="3" xfId="0" applyNumberFormat="1" applyFont="1" applyFill="1" applyBorder="1" applyAlignment="1">
      <alignment horizontal="center" vertical="center" wrapText="1"/>
    </xf>
    <xf numFmtId="15" fontId="6" fillId="7" borderId="3" xfId="0" applyNumberFormat="1" applyFont="1" applyFill="1" applyBorder="1" applyAlignment="1">
      <alignment horizontal="center" vertical="center" wrapText="1"/>
    </xf>
    <xf numFmtId="17" fontId="4" fillId="4" borderId="3" xfId="0" applyNumberFormat="1" applyFont="1" applyFill="1" applyBorder="1" applyAlignment="1">
      <alignment horizontal="center" vertical="center" wrapText="1"/>
    </xf>
    <xf numFmtId="17" fontId="4" fillId="7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3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E3EF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4"/>
      <rgbColor rgb="FFE2EFDA"/>
      <rgbColor rgb="FFF2F4F8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C9A94A"/>
      <rgbColor rgb="FFFF6600"/>
      <rgbColor rgb="FF555555"/>
      <rgbColor rgb="FFAAAAAA"/>
      <rgbColor rgb="FF1F3864"/>
      <rgbColor rgb="FF538135"/>
      <rgbColor rgb="FF003300"/>
      <rgbColor rgb="FF333300"/>
      <rgbColor rgb="FF843C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V34"/>
  <sheetViews>
    <sheetView tabSelected="1" zoomScaleNormal="100" workbookViewId="0">
      <pane ySplit="3" topLeftCell="A4" activePane="bottomLeft" state="frozen"/>
      <selection pane="bottomLeft" activeCell="L9" sqref="L9"/>
    </sheetView>
  </sheetViews>
  <sheetFormatPr defaultColWidth="8.6640625" defaultRowHeight="14.4" x14ac:dyDescent="0.3"/>
  <cols>
    <col min="1" max="1" width="14" customWidth="1"/>
    <col min="2" max="2" width="13" customWidth="1"/>
    <col min="3" max="3" width="24" customWidth="1"/>
    <col min="4" max="4" width="11" customWidth="1"/>
    <col min="5" max="5" width="32" customWidth="1"/>
    <col min="6" max="6" width="16" customWidth="1"/>
    <col min="7" max="7" width="14" customWidth="1"/>
    <col min="8" max="8" width="13" customWidth="1"/>
    <col min="9" max="9" width="14" customWidth="1"/>
    <col min="10" max="10" width="10" customWidth="1"/>
    <col min="11" max="12" width="14" customWidth="1"/>
    <col min="13" max="13" width="16" customWidth="1"/>
    <col min="14" max="14" width="13" customWidth="1"/>
    <col min="15" max="16" width="18" customWidth="1"/>
    <col min="17" max="17" width="13" customWidth="1"/>
    <col min="18" max="18" width="14" customWidth="1"/>
    <col min="19" max="19" width="12" customWidth="1"/>
    <col min="20" max="20" width="16" customWidth="1"/>
    <col min="21" max="21" width="12" customWidth="1"/>
    <col min="22" max="22" width="22" customWidth="1"/>
  </cols>
  <sheetData>
    <row r="1" spans="1:22" ht="30" customHeight="1" x14ac:dyDescent="0.3">
      <c r="A1" s="47" t="s">
        <v>263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 ht="13.5" customHeight="1" x14ac:dyDescent="0.3">
      <c r="A2" s="48" t="s">
        <v>264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ht="52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ht="22.8" customHeight="1" x14ac:dyDescent="0.3">
      <c r="A4" s="2" t="s">
        <v>349</v>
      </c>
      <c r="B4" s="10">
        <v>46034</v>
      </c>
      <c r="C4" s="2" t="s">
        <v>22</v>
      </c>
      <c r="D4" s="2" t="s">
        <v>23</v>
      </c>
      <c r="E4" s="2" t="s">
        <v>265</v>
      </c>
      <c r="F4" s="22">
        <v>485000</v>
      </c>
      <c r="G4" s="2" t="s">
        <v>24</v>
      </c>
      <c r="H4" s="21">
        <v>46035</v>
      </c>
      <c r="I4" s="2" t="s">
        <v>25</v>
      </c>
      <c r="J4" s="2" t="s">
        <v>26</v>
      </c>
      <c r="K4" s="2" t="s">
        <v>350</v>
      </c>
      <c r="L4" s="2" t="s">
        <v>25</v>
      </c>
      <c r="M4" s="10">
        <v>46046</v>
      </c>
      <c r="N4" s="10">
        <v>46049</v>
      </c>
      <c r="O4" s="2" t="s">
        <v>27</v>
      </c>
      <c r="P4" s="2" t="s">
        <v>351</v>
      </c>
      <c r="Q4" s="10">
        <v>46050</v>
      </c>
      <c r="R4" s="2">
        <v>1</v>
      </c>
      <c r="S4" s="3" t="s">
        <v>28</v>
      </c>
      <c r="T4" s="10">
        <v>46081</v>
      </c>
      <c r="U4" s="2" t="s">
        <v>29</v>
      </c>
      <c r="V4" s="12" t="s">
        <v>266</v>
      </c>
    </row>
    <row r="5" spans="1:22" ht="22.8" customHeight="1" x14ac:dyDescent="0.3">
      <c r="A5" s="4" t="s">
        <v>352</v>
      </c>
      <c r="B5" s="11">
        <v>46037</v>
      </c>
      <c r="C5" s="4" t="s">
        <v>30</v>
      </c>
      <c r="D5" s="4" t="s">
        <v>23</v>
      </c>
      <c r="E5" s="4" t="s">
        <v>267</v>
      </c>
      <c r="F5" s="22">
        <v>1200000</v>
      </c>
      <c r="G5" s="4" t="s">
        <v>24</v>
      </c>
      <c r="H5" s="21">
        <v>46038</v>
      </c>
      <c r="I5" s="4" t="s">
        <v>31</v>
      </c>
      <c r="J5" s="4" t="s">
        <v>26</v>
      </c>
      <c r="K5" s="4" t="s">
        <v>353</v>
      </c>
      <c r="L5" s="4" t="s">
        <v>31</v>
      </c>
      <c r="M5" s="10">
        <v>46046</v>
      </c>
      <c r="N5" s="11">
        <v>46056</v>
      </c>
      <c r="O5" s="4" t="s">
        <v>27</v>
      </c>
      <c r="P5" s="4" t="s">
        <v>354</v>
      </c>
      <c r="Q5" s="11">
        <v>46057</v>
      </c>
      <c r="R5" s="2">
        <v>1</v>
      </c>
      <c r="S5" s="3" t="s">
        <v>28</v>
      </c>
      <c r="T5" s="11">
        <v>46088</v>
      </c>
      <c r="U5" s="4" t="s">
        <v>29</v>
      </c>
      <c r="V5" s="12" t="s">
        <v>266</v>
      </c>
    </row>
    <row r="6" spans="1:22" ht="22.8" customHeight="1" x14ac:dyDescent="0.3">
      <c r="A6" s="2" t="s">
        <v>355</v>
      </c>
      <c r="B6" s="10">
        <v>46040</v>
      </c>
      <c r="C6" s="2" t="s">
        <v>32</v>
      </c>
      <c r="D6" s="2" t="s">
        <v>33</v>
      </c>
      <c r="E6" s="2" t="s">
        <v>34</v>
      </c>
      <c r="F6" s="22">
        <v>750000</v>
      </c>
      <c r="G6" s="2" t="s">
        <v>24</v>
      </c>
      <c r="H6" s="21">
        <v>46041</v>
      </c>
      <c r="I6" s="2" t="s">
        <v>25</v>
      </c>
      <c r="J6" s="2" t="s">
        <v>26</v>
      </c>
      <c r="K6" s="2" t="s">
        <v>356</v>
      </c>
      <c r="L6" s="2" t="s">
        <v>25</v>
      </c>
      <c r="M6" s="10">
        <v>46052</v>
      </c>
      <c r="N6" s="10">
        <v>46057</v>
      </c>
      <c r="O6" s="2" t="s">
        <v>27</v>
      </c>
      <c r="P6" s="2" t="s">
        <v>357</v>
      </c>
      <c r="Q6" s="10">
        <v>46058</v>
      </c>
      <c r="R6" s="2">
        <v>1</v>
      </c>
      <c r="S6" s="3" t="s">
        <v>28</v>
      </c>
      <c r="T6" s="10">
        <v>46091</v>
      </c>
      <c r="U6" s="2" t="s">
        <v>26</v>
      </c>
      <c r="V6" s="12" t="s">
        <v>268</v>
      </c>
    </row>
    <row r="7" spans="1:22" ht="22.8" customHeight="1" x14ac:dyDescent="0.3">
      <c r="A7" s="4" t="s">
        <v>358</v>
      </c>
      <c r="B7" s="11">
        <v>46044</v>
      </c>
      <c r="C7" s="4" t="s">
        <v>35</v>
      </c>
      <c r="D7" s="4" t="s">
        <v>33</v>
      </c>
      <c r="E7" s="4" t="s">
        <v>269</v>
      </c>
      <c r="F7" s="22">
        <v>320000</v>
      </c>
      <c r="G7" s="4" t="s">
        <v>24</v>
      </c>
      <c r="H7" s="21">
        <v>46045</v>
      </c>
      <c r="I7" s="4" t="s">
        <v>31</v>
      </c>
      <c r="J7" s="4" t="s">
        <v>26</v>
      </c>
      <c r="K7" s="4" t="s">
        <v>359</v>
      </c>
      <c r="L7" s="4" t="s">
        <v>31</v>
      </c>
      <c r="M7" s="10">
        <v>46053</v>
      </c>
      <c r="N7" s="11">
        <v>46063</v>
      </c>
      <c r="O7" s="4" t="s">
        <v>270</v>
      </c>
      <c r="P7" s="4"/>
      <c r="Q7" s="4"/>
      <c r="R7" s="4"/>
      <c r="S7" s="2" t="s">
        <v>36</v>
      </c>
      <c r="T7" s="4"/>
      <c r="U7" s="4" t="s">
        <v>29</v>
      </c>
      <c r="V7" s="3" t="s">
        <v>271</v>
      </c>
    </row>
    <row r="8" spans="1:22" ht="22.8" customHeight="1" x14ac:dyDescent="0.3">
      <c r="A8" s="2" t="s">
        <v>360</v>
      </c>
      <c r="B8" s="10">
        <v>46048</v>
      </c>
      <c r="C8" s="2" t="s">
        <v>37</v>
      </c>
      <c r="D8" s="2" t="s">
        <v>38</v>
      </c>
      <c r="E8" s="2" t="s">
        <v>272</v>
      </c>
      <c r="F8" s="22">
        <v>95000</v>
      </c>
      <c r="G8" s="2" t="s">
        <v>39</v>
      </c>
      <c r="H8" s="21">
        <v>46048</v>
      </c>
      <c r="I8" s="2" t="s">
        <v>25</v>
      </c>
      <c r="J8" s="2" t="s">
        <v>26</v>
      </c>
      <c r="K8" s="2"/>
      <c r="L8" s="2"/>
      <c r="M8" s="10">
        <v>46058</v>
      </c>
      <c r="N8" s="2"/>
      <c r="O8" s="2"/>
      <c r="P8" s="2"/>
      <c r="Q8" s="2"/>
      <c r="R8" s="2"/>
      <c r="S8" s="2" t="s">
        <v>36</v>
      </c>
      <c r="T8" s="2"/>
      <c r="U8" s="2" t="s">
        <v>29</v>
      </c>
      <c r="V8" s="2" t="s">
        <v>273</v>
      </c>
    </row>
    <row r="9" spans="1:22" ht="22.8" customHeight="1" x14ac:dyDescent="0.3">
      <c r="A9" s="4" t="s">
        <v>361</v>
      </c>
      <c r="B9" s="11">
        <v>46050</v>
      </c>
      <c r="C9" s="4" t="s">
        <v>22</v>
      </c>
      <c r="D9" s="4" t="s">
        <v>23</v>
      </c>
      <c r="E9" s="4" t="s">
        <v>274</v>
      </c>
      <c r="F9" s="22">
        <v>58800</v>
      </c>
      <c r="G9" s="4" t="s">
        <v>24</v>
      </c>
      <c r="H9" s="21">
        <v>46051</v>
      </c>
      <c r="I9" s="4" t="s">
        <v>31</v>
      </c>
      <c r="J9" s="4" t="s">
        <v>26</v>
      </c>
      <c r="K9" s="4" t="s">
        <v>362</v>
      </c>
      <c r="L9" s="4" t="s">
        <v>31</v>
      </c>
      <c r="M9" s="10"/>
      <c r="N9" s="11">
        <v>46066</v>
      </c>
      <c r="O9" s="4" t="s">
        <v>27</v>
      </c>
      <c r="P9" s="4" t="s">
        <v>363</v>
      </c>
      <c r="Q9" s="11">
        <v>46067</v>
      </c>
      <c r="R9" s="2">
        <v>1</v>
      </c>
      <c r="S9" s="3" t="s">
        <v>28</v>
      </c>
      <c r="T9" s="11">
        <v>46098</v>
      </c>
      <c r="U9" s="4" t="s">
        <v>29</v>
      </c>
      <c r="V9" s="12" t="s">
        <v>266</v>
      </c>
    </row>
    <row r="10" spans="1:22" ht="22.8" customHeight="1" x14ac:dyDescent="0.3">
      <c r="A10" s="2" t="s">
        <v>364</v>
      </c>
      <c r="B10" s="10">
        <v>46054</v>
      </c>
      <c r="C10" s="2" t="s">
        <v>30</v>
      </c>
      <c r="D10" s="2" t="s">
        <v>23</v>
      </c>
      <c r="E10" s="2" t="s">
        <v>275</v>
      </c>
      <c r="F10" s="22">
        <v>0</v>
      </c>
      <c r="G10" s="2" t="s">
        <v>24</v>
      </c>
      <c r="H10" s="21">
        <v>46054</v>
      </c>
      <c r="I10" s="2" t="s">
        <v>25</v>
      </c>
      <c r="J10" s="2" t="s">
        <v>26</v>
      </c>
      <c r="K10" s="2" t="s">
        <v>365</v>
      </c>
      <c r="L10" s="2" t="s">
        <v>25</v>
      </c>
      <c r="M10" s="10">
        <v>46063</v>
      </c>
      <c r="N10" s="10">
        <v>46063</v>
      </c>
      <c r="O10" s="2" t="s">
        <v>27</v>
      </c>
      <c r="P10" s="2" t="s">
        <v>366</v>
      </c>
      <c r="Q10" s="10">
        <v>46064</v>
      </c>
      <c r="R10" s="2">
        <v>1</v>
      </c>
      <c r="S10" s="3" t="s">
        <v>28</v>
      </c>
      <c r="T10" s="10">
        <v>46096</v>
      </c>
      <c r="U10" s="2" t="s">
        <v>26</v>
      </c>
      <c r="V10" s="12" t="s">
        <v>276</v>
      </c>
    </row>
    <row r="11" spans="1:22" ht="22.8" customHeight="1" x14ac:dyDescent="0.3">
      <c r="A11" s="4" t="s">
        <v>367</v>
      </c>
      <c r="B11" s="11">
        <v>46057</v>
      </c>
      <c r="C11" s="4" t="s">
        <v>35</v>
      </c>
      <c r="D11" s="4" t="s">
        <v>33</v>
      </c>
      <c r="E11" s="4" t="s">
        <v>277</v>
      </c>
      <c r="F11" s="22">
        <v>2600000</v>
      </c>
      <c r="G11" s="4" t="s">
        <v>24</v>
      </c>
      <c r="H11" s="21">
        <v>46058</v>
      </c>
      <c r="I11" s="4" t="s">
        <v>31</v>
      </c>
      <c r="J11" s="4" t="s">
        <v>26</v>
      </c>
      <c r="K11" s="4" t="s">
        <v>368</v>
      </c>
      <c r="L11" s="4" t="s">
        <v>31</v>
      </c>
      <c r="M11" s="10">
        <v>46061</v>
      </c>
      <c r="N11" s="11">
        <v>46074</v>
      </c>
      <c r="O11" s="4" t="s">
        <v>27</v>
      </c>
      <c r="P11" s="4" t="s">
        <v>369</v>
      </c>
      <c r="Q11" s="11">
        <v>46075</v>
      </c>
      <c r="R11" s="2">
        <v>1</v>
      </c>
      <c r="S11" s="3" t="s">
        <v>28</v>
      </c>
      <c r="T11" s="11">
        <v>46109</v>
      </c>
      <c r="U11" s="4" t="s">
        <v>29</v>
      </c>
      <c r="V11" s="12" t="s">
        <v>266</v>
      </c>
    </row>
    <row r="12" spans="1:22" ht="22.8" customHeight="1" x14ac:dyDescent="0.3">
      <c r="A12" s="2" t="s">
        <v>370</v>
      </c>
      <c r="B12" s="10">
        <v>46060</v>
      </c>
      <c r="C12" s="2" t="s">
        <v>32</v>
      </c>
      <c r="D12" s="2" t="s">
        <v>33</v>
      </c>
      <c r="E12" s="2" t="s">
        <v>40</v>
      </c>
      <c r="F12" s="22">
        <v>180000</v>
      </c>
      <c r="G12" s="2" t="s">
        <v>39</v>
      </c>
      <c r="H12" s="21">
        <v>46061</v>
      </c>
      <c r="I12" s="2" t="s">
        <v>25</v>
      </c>
      <c r="J12" s="2" t="s">
        <v>26</v>
      </c>
      <c r="K12" s="2"/>
      <c r="L12" s="2"/>
      <c r="M12" s="10">
        <v>46071</v>
      </c>
      <c r="N12" s="2"/>
      <c r="O12" s="2"/>
      <c r="P12" s="2"/>
      <c r="Q12" s="2"/>
      <c r="R12" s="2" t="str">
        <f t="shared" ref="R12:R13" si="0">IF(Q13&lt;&gt;"",DATEDIF(N13,Q13,"d"),"")</f>
        <v/>
      </c>
      <c r="S12" s="2" t="s">
        <v>36</v>
      </c>
      <c r="T12" s="2"/>
      <c r="U12" s="2" t="s">
        <v>29</v>
      </c>
      <c r="V12" s="2" t="s">
        <v>273</v>
      </c>
    </row>
    <row r="13" spans="1:22" ht="22.8" customHeight="1" x14ac:dyDescent="0.3">
      <c r="A13" s="4" t="s">
        <v>371</v>
      </c>
      <c r="B13" s="11">
        <v>46063</v>
      </c>
      <c r="C13" s="4" t="s">
        <v>37</v>
      </c>
      <c r="D13" s="4" t="s">
        <v>38</v>
      </c>
      <c r="E13" s="4" t="s">
        <v>278</v>
      </c>
      <c r="F13" s="22">
        <v>45000</v>
      </c>
      <c r="G13" s="4" t="s">
        <v>39</v>
      </c>
      <c r="H13" s="21">
        <v>46064</v>
      </c>
      <c r="I13" s="4" t="s">
        <v>31</v>
      </c>
      <c r="J13" s="4" t="s">
        <v>26</v>
      </c>
      <c r="K13" s="4"/>
      <c r="L13" s="4"/>
      <c r="M13" s="10"/>
      <c r="N13" s="4"/>
      <c r="O13" s="4"/>
      <c r="P13" s="4"/>
      <c r="Q13" s="4"/>
      <c r="R13" s="4" t="str">
        <f t="shared" si="0"/>
        <v/>
      </c>
      <c r="S13" s="2" t="s">
        <v>36</v>
      </c>
      <c r="T13" s="4"/>
      <c r="U13" s="4" t="s">
        <v>29</v>
      </c>
      <c r="V13" s="2" t="s">
        <v>273</v>
      </c>
    </row>
    <row r="14" spans="1:22" ht="22.8" customHeight="1" x14ac:dyDescent="0.3">
      <c r="A14" s="2" t="s">
        <v>372</v>
      </c>
      <c r="B14" s="10">
        <v>46066</v>
      </c>
      <c r="C14" s="2" t="s">
        <v>22</v>
      </c>
      <c r="D14" s="2" t="s">
        <v>23</v>
      </c>
      <c r="E14" s="2" t="s">
        <v>279</v>
      </c>
      <c r="F14" s="22">
        <v>670000</v>
      </c>
      <c r="G14" s="2" t="s">
        <v>24</v>
      </c>
      <c r="H14" s="21">
        <v>46067</v>
      </c>
      <c r="I14" s="2" t="s">
        <v>25</v>
      </c>
      <c r="J14" s="2" t="s">
        <v>26</v>
      </c>
      <c r="K14" s="2" t="s">
        <v>373</v>
      </c>
      <c r="L14" s="2" t="s">
        <v>25</v>
      </c>
      <c r="M14" s="10"/>
      <c r="N14" s="10">
        <v>46084</v>
      </c>
      <c r="O14" s="2" t="s">
        <v>41</v>
      </c>
      <c r="P14" s="2"/>
      <c r="Q14" s="2"/>
      <c r="R14" s="2"/>
      <c r="S14" s="5" t="s">
        <v>42</v>
      </c>
      <c r="T14" s="2"/>
      <c r="U14" s="2" t="s">
        <v>29</v>
      </c>
      <c r="V14" s="5" t="s">
        <v>280</v>
      </c>
    </row>
    <row r="15" spans="1:22" ht="22.8" customHeight="1" x14ac:dyDescent="0.3">
      <c r="A15" s="4" t="s">
        <v>374</v>
      </c>
      <c r="B15" s="11">
        <v>46070</v>
      </c>
      <c r="C15" s="4" t="s">
        <v>30</v>
      </c>
      <c r="D15" s="4" t="s">
        <v>23</v>
      </c>
      <c r="E15" s="4" t="s">
        <v>281</v>
      </c>
      <c r="F15" s="22">
        <v>310000</v>
      </c>
      <c r="G15" s="4" t="s">
        <v>24</v>
      </c>
      <c r="H15" s="21">
        <v>46071</v>
      </c>
      <c r="I15" s="4" t="s">
        <v>31</v>
      </c>
      <c r="J15" s="4" t="s">
        <v>26</v>
      </c>
      <c r="K15" s="4" t="s">
        <v>375</v>
      </c>
      <c r="L15" s="4" t="s">
        <v>31</v>
      </c>
      <c r="M15" s="10">
        <v>46079</v>
      </c>
      <c r="N15" s="11">
        <v>46087</v>
      </c>
      <c r="O15" s="4" t="s">
        <v>27</v>
      </c>
      <c r="P15" s="4" t="s">
        <v>376</v>
      </c>
      <c r="Q15" s="11">
        <v>46088</v>
      </c>
      <c r="R15" s="4">
        <v>1</v>
      </c>
      <c r="S15" s="3" t="s">
        <v>28</v>
      </c>
      <c r="T15" s="11">
        <v>46122</v>
      </c>
      <c r="U15" s="4" t="s">
        <v>29</v>
      </c>
      <c r="V15" s="12" t="s">
        <v>266</v>
      </c>
    </row>
    <row r="16" spans="1:22" ht="22.8" customHeight="1" x14ac:dyDescent="0.3">
      <c r="A16" s="2" t="s">
        <v>377</v>
      </c>
      <c r="B16" s="10">
        <v>46073</v>
      </c>
      <c r="C16" s="2" t="s">
        <v>35</v>
      </c>
      <c r="D16" s="2" t="s">
        <v>33</v>
      </c>
      <c r="E16" s="2" t="s">
        <v>282</v>
      </c>
      <c r="F16" s="22">
        <v>4100000</v>
      </c>
      <c r="G16" s="2" t="s">
        <v>24</v>
      </c>
      <c r="H16" s="21">
        <v>46074</v>
      </c>
      <c r="I16" s="2" t="s">
        <v>25</v>
      </c>
      <c r="J16" s="2" t="s">
        <v>26</v>
      </c>
      <c r="K16" s="2" t="s">
        <v>378</v>
      </c>
      <c r="L16" s="2" t="s">
        <v>25</v>
      </c>
      <c r="M16" s="10">
        <v>46084</v>
      </c>
      <c r="N16" s="10">
        <v>46093</v>
      </c>
      <c r="O16" s="2" t="s">
        <v>270</v>
      </c>
      <c r="P16" s="2"/>
      <c r="Q16" s="2"/>
      <c r="R16" s="2"/>
      <c r="S16" s="2" t="s">
        <v>36</v>
      </c>
      <c r="T16" s="2"/>
      <c r="U16" s="2" t="s">
        <v>29</v>
      </c>
      <c r="V16" s="3" t="s">
        <v>271</v>
      </c>
    </row>
    <row r="17" spans="1:22" ht="22.8" customHeight="1" x14ac:dyDescent="0.3">
      <c r="A17" s="4" t="s">
        <v>379</v>
      </c>
      <c r="B17" s="11">
        <v>46077</v>
      </c>
      <c r="C17" s="4" t="s">
        <v>32</v>
      </c>
      <c r="D17" s="4" t="s">
        <v>33</v>
      </c>
      <c r="E17" s="4" t="s">
        <v>283</v>
      </c>
      <c r="F17" s="22">
        <v>890000</v>
      </c>
      <c r="G17" s="4" t="s">
        <v>24</v>
      </c>
      <c r="H17" s="21">
        <v>46079</v>
      </c>
      <c r="I17" s="4" t="s">
        <v>31</v>
      </c>
      <c r="J17" s="4" t="s">
        <v>26</v>
      </c>
      <c r="K17" s="4" t="s">
        <v>380</v>
      </c>
      <c r="L17" s="4" t="s">
        <v>31</v>
      </c>
      <c r="M17" s="10">
        <v>46088</v>
      </c>
      <c r="N17" s="11">
        <v>46095</v>
      </c>
      <c r="O17" s="4" t="s">
        <v>27</v>
      </c>
      <c r="P17" s="4" t="s">
        <v>381</v>
      </c>
      <c r="Q17" s="11">
        <v>46096</v>
      </c>
      <c r="R17" s="2">
        <v>1</v>
      </c>
      <c r="S17" s="3" t="s">
        <v>28</v>
      </c>
      <c r="T17" s="11">
        <v>46130</v>
      </c>
      <c r="U17" s="4" t="s">
        <v>29</v>
      </c>
      <c r="V17" s="12" t="s">
        <v>266</v>
      </c>
    </row>
    <row r="18" spans="1:22" ht="22.8" customHeight="1" x14ac:dyDescent="0.3">
      <c r="A18" s="2" t="s">
        <v>382</v>
      </c>
      <c r="B18" s="10">
        <v>46080</v>
      </c>
      <c r="C18" s="2" t="s">
        <v>37</v>
      </c>
      <c r="D18" s="2" t="s">
        <v>38</v>
      </c>
      <c r="E18" s="2" t="s">
        <v>43</v>
      </c>
      <c r="F18" s="22">
        <v>72000</v>
      </c>
      <c r="G18" s="2" t="s">
        <v>39</v>
      </c>
      <c r="H18" s="21">
        <v>46080</v>
      </c>
      <c r="I18" s="2" t="s">
        <v>25</v>
      </c>
      <c r="J18" s="2" t="s">
        <v>26</v>
      </c>
      <c r="K18" s="2"/>
      <c r="L18" s="2"/>
      <c r="M18" s="10">
        <v>46091</v>
      </c>
      <c r="N18" s="2"/>
      <c r="O18" s="2"/>
      <c r="P18" s="2"/>
      <c r="Q18" s="2"/>
      <c r="R18" s="2"/>
      <c r="S18" s="2" t="s">
        <v>36</v>
      </c>
      <c r="T18" s="2"/>
      <c r="U18" s="2" t="s">
        <v>29</v>
      </c>
      <c r="V18" s="2" t="s">
        <v>273</v>
      </c>
    </row>
    <row r="19" spans="1:22" ht="22.8" customHeight="1" x14ac:dyDescent="0.3">
      <c r="A19" s="4" t="s">
        <v>383</v>
      </c>
      <c r="B19" s="11">
        <v>46084</v>
      </c>
      <c r="C19" s="4" t="s">
        <v>22</v>
      </c>
      <c r="D19" s="4" t="s">
        <v>23</v>
      </c>
      <c r="E19" s="4" t="s">
        <v>384</v>
      </c>
      <c r="F19" s="22">
        <v>540000</v>
      </c>
      <c r="G19" s="4" t="s">
        <v>24</v>
      </c>
      <c r="H19" s="21">
        <v>46085</v>
      </c>
      <c r="I19" s="4" t="s">
        <v>31</v>
      </c>
      <c r="J19" s="4" t="s">
        <v>26</v>
      </c>
      <c r="K19" s="4" t="s">
        <v>385</v>
      </c>
      <c r="L19" s="4" t="s">
        <v>31</v>
      </c>
      <c r="M19" s="10"/>
      <c r="N19" s="11">
        <v>46101</v>
      </c>
      <c r="O19" s="4" t="s">
        <v>27</v>
      </c>
      <c r="P19" s="4" t="s">
        <v>386</v>
      </c>
      <c r="Q19" s="11">
        <v>46102</v>
      </c>
      <c r="R19" s="2">
        <v>1</v>
      </c>
      <c r="S19" s="3" t="s">
        <v>28</v>
      </c>
      <c r="T19" s="11">
        <v>46138</v>
      </c>
      <c r="U19" s="4" t="s">
        <v>29</v>
      </c>
      <c r="V19" s="12" t="s">
        <v>284</v>
      </c>
    </row>
    <row r="20" spans="1:22" ht="22.8" customHeight="1" x14ac:dyDescent="0.3">
      <c r="A20" s="2" t="s">
        <v>387</v>
      </c>
      <c r="B20" s="10">
        <v>46087</v>
      </c>
      <c r="C20" s="2" t="s">
        <v>30</v>
      </c>
      <c r="D20" s="2" t="s">
        <v>23</v>
      </c>
      <c r="E20" s="2" t="s">
        <v>285</v>
      </c>
      <c r="F20" s="22">
        <v>1750000</v>
      </c>
      <c r="G20" s="2" t="s">
        <v>24</v>
      </c>
      <c r="H20" s="21">
        <v>46088</v>
      </c>
      <c r="I20" s="2" t="s">
        <v>25</v>
      </c>
      <c r="J20" s="2" t="s">
        <v>26</v>
      </c>
      <c r="K20" s="2" t="s">
        <v>388</v>
      </c>
      <c r="L20" s="2" t="s">
        <v>25</v>
      </c>
      <c r="M20" s="10">
        <v>46098</v>
      </c>
      <c r="N20" s="10">
        <v>46107</v>
      </c>
      <c r="O20" s="2" t="s">
        <v>27</v>
      </c>
      <c r="P20" s="2" t="s">
        <v>389</v>
      </c>
      <c r="Q20" s="10">
        <v>46107</v>
      </c>
      <c r="R20" s="2">
        <v>1</v>
      </c>
      <c r="S20" s="3" t="s">
        <v>28</v>
      </c>
      <c r="T20" s="10">
        <v>46142</v>
      </c>
      <c r="U20" s="2" t="s">
        <v>29</v>
      </c>
      <c r="V20" s="12" t="s">
        <v>266</v>
      </c>
    </row>
    <row r="21" spans="1:22" ht="22.8" customHeight="1" x14ac:dyDescent="0.3">
      <c r="A21" s="4" t="s">
        <v>390</v>
      </c>
      <c r="B21" s="11">
        <v>46091</v>
      </c>
      <c r="C21" s="4" t="s">
        <v>35</v>
      </c>
      <c r="D21" s="4" t="s">
        <v>33</v>
      </c>
      <c r="E21" s="4" t="s">
        <v>44</v>
      </c>
      <c r="F21" s="22">
        <v>220000</v>
      </c>
      <c r="G21" s="4" t="s">
        <v>24</v>
      </c>
      <c r="H21" s="21">
        <v>46092</v>
      </c>
      <c r="I21" s="4" t="s">
        <v>31</v>
      </c>
      <c r="J21" s="4" t="s">
        <v>26</v>
      </c>
      <c r="K21" s="4" t="s">
        <v>391</v>
      </c>
      <c r="L21" s="4" t="s">
        <v>31</v>
      </c>
      <c r="M21" s="10">
        <v>46101</v>
      </c>
      <c r="N21" s="11">
        <v>46109</v>
      </c>
      <c r="O21" s="4" t="s">
        <v>270</v>
      </c>
      <c r="P21" s="4"/>
      <c r="Q21" s="4"/>
      <c r="R21" s="4"/>
      <c r="S21" s="2" t="s">
        <v>36</v>
      </c>
      <c r="T21" s="4"/>
      <c r="U21" s="4" t="s">
        <v>29</v>
      </c>
      <c r="V21" s="3" t="s">
        <v>271</v>
      </c>
    </row>
    <row r="22" spans="1:22" ht="22.8" customHeight="1" x14ac:dyDescent="0.3">
      <c r="A22" s="2" t="s">
        <v>392</v>
      </c>
      <c r="B22" s="10">
        <v>46094</v>
      </c>
      <c r="C22" s="2" t="s">
        <v>32</v>
      </c>
      <c r="D22" s="2" t="s">
        <v>33</v>
      </c>
      <c r="E22" s="2" t="s">
        <v>45</v>
      </c>
      <c r="F22" s="22">
        <v>430000</v>
      </c>
      <c r="G22" s="2" t="s">
        <v>24</v>
      </c>
      <c r="H22" s="21">
        <v>46095</v>
      </c>
      <c r="I22" s="2" t="s">
        <v>25</v>
      </c>
      <c r="J22" s="2" t="s">
        <v>26</v>
      </c>
      <c r="K22" s="2" t="s">
        <v>393</v>
      </c>
      <c r="L22" s="2" t="s">
        <v>25</v>
      </c>
      <c r="M22" s="10">
        <v>46105</v>
      </c>
      <c r="N22" s="10">
        <v>46113</v>
      </c>
      <c r="O22" s="2" t="s">
        <v>27</v>
      </c>
      <c r="P22" s="2" t="s">
        <v>394</v>
      </c>
      <c r="Q22" s="10">
        <v>46114</v>
      </c>
      <c r="R22" s="2">
        <v>1</v>
      </c>
      <c r="S22" s="3" t="s">
        <v>28</v>
      </c>
      <c r="T22" s="10">
        <v>46149</v>
      </c>
      <c r="U22" s="2" t="s">
        <v>29</v>
      </c>
      <c r="V22" s="12" t="s">
        <v>266</v>
      </c>
    </row>
    <row r="23" spans="1:22" ht="22.8" customHeight="1" x14ac:dyDescent="0.3">
      <c r="A23" s="4" t="s">
        <v>395</v>
      </c>
      <c r="B23" s="11">
        <v>46098</v>
      </c>
      <c r="C23" s="4" t="s">
        <v>37</v>
      </c>
      <c r="D23" s="4" t="s">
        <v>38</v>
      </c>
      <c r="E23" s="4" t="s">
        <v>286</v>
      </c>
      <c r="F23" s="22">
        <v>88000</v>
      </c>
      <c r="G23" s="4" t="s">
        <v>39</v>
      </c>
      <c r="H23" s="21">
        <v>46099</v>
      </c>
      <c r="I23" s="4" t="s">
        <v>31</v>
      </c>
      <c r="J23" s="4" t="s">
        <v>26</v>
      </c>
      <c r="K23" s="4"/>
      <c r="L23" s="4"/>
      <c r="M23" s="10">
        <v>46108</v>
      </c>
      <c r="N23" s="4"/>
      <c r="O23" s="4"/>
      <c r="P23" s="4"/>
      <c r="Q23" s="4"/>
      <c r="R23" s="4" t="str">
        <f t="shared" ref="R23:R28" si="1">IF(Q24&lt;&gt;"",DATEDIF(N24,Q24,"d"),"")</f>
        <v/>
      </c>
      <c r="S23" s="2" t="s">
        <v>36</v>
      </c>
      <c r="T23" s="4"/>
      <c r="U23" s="4" t="s">
        <v>29</v>
      </c>
      <c r="V23" s="2" t="s">
        <v>273</v>
      </c>
    </row>
    <row r="24" spans="1:22" ht="22.8" customHeight="1" x14ac:dyDescent="0.3">
      <c r="A24" s="2" t="s">
        <v>396</v>
      </c>
      <c r="B24" s="10">
        <v>46101</v>
      </c>
      <c r="C24" s="2" t="s">
        <v>22</v>
      </c>
      <c r="D24" s="2" t="s">
        <v>23</v>
      </c>
      <c r="E24" s="13" t="s">
        <v>287</v>
      </c>
      <c r="F24" s="22">
        <v>0</v>
      </c>
      <c r="G24" s="2" t="s">
        <v>24</v>
      </c>
      <c r="H24" s="21">
        <v>46102</v>
      </c>
      <c r="I24" s="2" t="s">
        <v>25</v>
      </c>
      <c r="J24" s="2" t="s">
        <v>26</v>
      </c>
      <c r="K24" s="2" t="s">
        <v>397</v>
      </c>
      <c r="L24" s="2" t="s">
        <v>25</v>
      </c>
      <c r="M24" s="10"/>
      <c r="N24" s="2"/>
      <c r="O24" s="2" t="s">
        <v>41</v>
      </c>
      <c r="P24" s="2"/>
      <c r="Q24" s="2"/>
      <c r="R24" s="2"/>
      <c r="S24" s="5" t="s">
        <v>42</v>
      </c>
      <c r="T24" s="2"/>
      <c r="U24" s="2" t="s">
        <v>29</v>
      </c>
      <c r="V24" s="5" t="s">
        <v>46</v>
      </c>
    </row>
    <row r="25" spans="1:22" ht="22.8" customHeight="1" x14ac:dyDescent="0.3">
      <c r="A25" s="4" t="s">
        <v>398</v>
      </c>
      <c r="B25" s="11">
        <v>46105</v>
      </c>
      <c r="C25" s="4" t="s">
        <v>30</v>
      </c>
      <c r="D25" s="4" t="s">
        <v>23</v>
      </c>
      <c r="E25" s="4" t="s">
        <v>288</v>
      </c>
      <c r="F25" s="22">
        <v>3200000</v>
      </c>
      <c r="G25" s="4" t="s">
        <v>24</v>
      </c>
      <c r="H25" s="21">
        <v>46107</v>
      </c>
      <c r="I25" s="4" t="s">
        <v>31</v>
      </c>
      <c r="J25" s="4" t="s">
        <v>26</v>
      </c>
      <c r="K25" s="4" t="s">
        <v>399</v>
      </c>
      <c r="L25" s="4" t="s">
        <v>31</v>
      </c>
      <c r="M25" s="10">
        <v>46115</v>
      </c>
      <c r="N25" s="11">
        <v>46122</v>
      </c>
      <c r="O25" s="4" t="s">
        <v>27</v>
      </c>
      <c r="P25" s="4" t="s">
        <v>400</v>
      </c>
      <c r="Q25" s="11">
        <v>46123</v>
      </c>
      <c r="R25" s="4">
        <v>1</v>
      </c>
      <c r="S25" s="3" t="s">
        <v>28</v>
      </c>
      <c r="T25" s="11">
        <v>46157</v>
      </c>
      <c r="U25" s="4" t="s">
        <v>29</v>
      </c>
      <c r="V25" s="12" t="s">
        <v>266</v>
      </c>
    </row>
    <row r="26" spans="1:22" ht="22.8" customHeight="1" x14ac:dyDescent="0.3">
      <c r="A26" s="2" t="s">
        <v>401</v>
      </c>
      <c r="B26" s="10">
        <v>46108</v>
      </c>
      <c r="C26" s="2" t="s">
        <v>35</v>
      </c>
      <c r="D26" s="2" t="s">
        <v>33</v>
      </c>
      <c r="E26" s="2" t="s">
        <v>289</v>
      </c>
      <c r="F26" s="22">
        <v>560000</v>
      </c>
      <c r="G26" s="2" t="s">
        <v>24</v>
      </c>
      <c r="H26" s="21">
        <v>46109</v>
      </c>
      <c r="I26" s="2" t="s">
        <v>25</v>
      </c>
      <c r="J26" s="2" t="s">
        <v>26</v>
      </c>
      <c r="K26" s="2" t="s">
        <v>402</v>
      </c>
      <c r="L26" s="2" t="s">
        <v>25</v>
      </c>
      <c r="M26" s="10">
        <v>46119</v>
      </c>
      <c r="N26" s="2"/>
      <c r="O26" s="2"/>
      <c r="P26" s="2"/>
      <c r="Q26" s="2"/>
      <c r="R26" s="2" t="str">
        <f t="shared" si="1"/>
        <v/>
      </c>
      <c r="S26" s="5" t="s">
        <v>42</v>
      </c>
      <c r="T26" s="2"/>
      <c r="U26" s="2" t="s">
        <v>29</v>
      </c>
      <c r="V26" s="5" t="s">
        <v>46</v>
      </c>
    </row>
    <row r="27" spans="1:22" ht="22.8" customHeight="1" x14ac:dyDescent="0.3">
      <c r="A27" s="4" t="s">
        <v>403</v>
      </c>
      <c r="B27" s="11">
        <v>46112</v>
      </c>
      <c r="C27" s="4" t="s">
        <v>32</v>
      </c>
      <c r="D27" s="4" t="s">
        <v>33</v>
      </c>
      <c r="E27" s="4" t="s">
        <v>290</v>
      </c>
      <c r="F27" s="22">
        <v>0</v>
      </c>
      <c r="G27" s="4" t="s">
        <v>24</v>
      </c>
      <c r="H27" s="21">
        <v>46113</v>
      </c>
      <c r="I27" s="4" t="s">
        <v>31</v>
      </c>
      <c r="J27" s="4" t="s">
        <v>26</v>
      </c>
      <c r="K27" s="4" t="s">
        <v>404</v>
      </c>
      <c r="L27" s="4" t="s">
        <v>31</v>
      </c>
      <c r="M27" s="10"/>
      <c r="N27" s="4"/>
      <c r="O27" s="4"/>
      <c r="P27" s="4"/>
      <c r="Q27" s="4"/>
      <c r="R27" s="4" t="str">
        <f t="shared" si="1"/>
        <v/>
      </c>
      <c r="S27" s="5" t="s">
        <v>42</v>
      </c>
      <c r="T27" s="4"/>
      <c r="U27" s="4" t="s">
        <v>29</v>
      </c>
      <c r="V27" s="5" t="s">
        <v>46</v>
      </c>
    </row>
    <row r="28" spans="1:22" ht="22.8" customHeight="1" x14ac:dyDescent="0.3">
      <c r="A28" s="2" t="s">
        <v>405</v>
      </c>
      <c r="B28" s="10">
        <v>46115</v>
      </c>
      <c r="C28" s="2" t="s">
        <v>37</v>
      </c>
      <c r="D28" s="2" t="s">
        <v>38</v>
      </c>
      <c r="E28" s="2" t="s">
        <v>291</v>
      </c>
      <c r="F28" s="22">
        <v>34000</v>
      </c>
      <c r="G28" s="2" t="s">
        <v>39</v>
      </c>
      <c r="H28" s="21">
        <v>46115</v>
      </c>
      <c r="I28" s="2" t="s">
        <v>25</v>
      </c>
      <c r="J28" s="2" t="s">
        <v>26</v>
      </c>
      <c r="K28" s="2"/>
      <c r="L28" s="2"/>
      <c r="M28" s="10"/>
      <c r="N28" s="2"/>
      <c r="O28" s="2"/>
      <c r="P28" s="2"/>
      <c r="Q28" s="2"/>
      <c r="R28" s="2" t="str">
        <f t="shared" si="1"/>
        <v/>
      </c>
      <c r="S28" s="2" t="s">
        <v>36</v>
      </c>
      <c r="T28" s="2"/>
      <c r="U28" s="2" t="s">
        <v>29</v>
      </c>
      <c r="V28" s="2" t="s">
        <v>273</v>
      </c>
    </row>
    <row r="30" spans="1:22" x14ac:dyDescent="0.3">
      <c r="A30" s="49" t="s">
        <v>292</v>
      </c>
      <c r="B30" s="49"/>
      <c r="C30" s="49"/>
      <c r="D30" s="49"/>
    </row>
    <row r="31" spans="1:22" x14ac:dyDescent="0.3">
      <c r="A31" s="6" t="s">
        <v>28</v>
      </c>
      <c r="B31" s="46" t="s">
        <v>293</v>
      </c>
      <c r="C31" s="46"/>
      <c r="D31" s="46"/>
    </row>
    <row r="32" spans="1:22" x14ac:dyDescent="0.3">
      <c r="A32" s="7" t="s">
        <v>42</v>
      </c>
      <c r="B32" s="46" t="s">
        <v>294</v>
      </c>
      <c r="C32" s="46"/>
      <c r="D32" s="46"/>
    </row>
    <row r="33" spans="1:4" x14ac:dyDescent="0.3">
      <c r="A33" s="8" t="s">
        <v>47</v>
      </c>
      <c r="B33" s="46" t="s">
        <v>295</v>
      </c>
      <c r="C33" s="46"/>
      <c r="D33" s="46"/>
    </row>
    <row r="34" spans="1:4" x14ac:dyDescent="0.3">
      <c r="A34" s="9" t="s">
        <v>48</v>
      </c>
      <c r="B34" s="46" t="s">
        <v>296</v>
      </c>
      <c r="C34" s="46"/>
      <c r="D34" s="46"/>
    </row>
  </sheetData>
  <mergeCells count="7">
    <mergeCell ref="B33:D33"/>
    <mergeCell ref="B34:D34"/>
    <mergeCell ref="A1:V1"/>
    <mergeCell ref="A2:V2"/>
    <mergeCell ref="A30:D30"/>
    <mergeCell ref="B31:D31"/>
    <mergeCell ref="B32:D3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94A"/>
  </sheetPr>
  <dimension ref="A1:H17"/>
  <sheetViews>
    <sheetView zoomScaleNormal="100" workbookViewId="0">
      <pane ySplit="1" topLeftCell="A2" activePane="bottomLeft" state="frozen"/>
      <selection pane="bottomLeft" activeCell="C8" sqref="C8"/>
    </sheetView>
  </sheetViews>
  <sheetFormatPr defaultColWidth="8.6640625" defaultRowHeight="14.4" x14ac:dyDescent="0.3"/>
  <cols>
    <col min="1" max="1" width="8" customWidth="1"/>
    <col min="2" max="4" width="28" customWidth="1"/>
    <col min="5" max="6" width="22" customWidth="1"/>
    <col min="7" max="8" width="16" customWidth="1"/>
  </cols>
  <sheetData>
    <row r="1" spans="1:8" ht="30" customHeight="1" x14ac:dyDescent="0.3">
      <c r="A1" s="47" t="s">
        <v>297</v>
      </c>
      <c r="B1" s="47"/>
      <c r="C1" s="47"/>
      <c r="D1" s="47"/>
      <c r="E1" s="47"/>
      <c r="F1" s="47"/>
      <c r="G1" s="47"/>
      <c r="H1" s="47"/>
    </row>
    <row r="2" spans="1:8" ht="13.5" customHeight="1" x14ac:dyDescent="0.3">
      <c r="A2" s="48" t="s">
        <v>49</v>
      </c>
      <c r="B2" s="48"/>
      <c r="C2" s="48"/>
      <c r="D2" s="48"/>
      <c r="E2" s="48"/>
      <c r="F2" s="48"/>
      <c r="G2" s="48"/>
      <c r="H2" s="48"/>
    </row>
    <row r="3" spans="1:8" ht="21.75" customHeight="1" x14ac:dyDescent="0.3">
      <c r="A3" s="50" t="s">
        <v>298</v>
      </c>
      <c r="B3" s="50"/>
      <c r="C3" s="50"/>
      <c r="D3" s="50"/>
      <c r="E3" s="50"/>
      <c r="F3" s="50"/>
      <c r="G3" s="50"/>
      <c r="H3" s="50"/>
    </row>
    <row r="4" spans="1:8" ht="39.6" x14ac:dyDescent="0.3">
      <c r="A4" s="14" t="s">
        <v>50</v>
      </c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</row>
    <row r="5" spans="1:8" ht="60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E5" s="23" t="s">
        <v>299</v>
      </c>
      <c r="F5" s="23" t="s">
        <v>62</v>
      </c>
      <c r="G5" s="23" t="s">
        <v>63</v>
      </c>
      <c r="H5" s="23" t="s">
        <v>64</v>
      </c>
    </row>
    <row r="6" spans="1:8" ht="60" customHeight="1" x14ac:dyDescent="0.3">
      <c r="A6" s="24" t="s">
        <v>65</v>
      </c>
      <c r="B6" s="24" t="s">
        <v>66</v>
      </c>
      <c r="C6" s="24" t="s">
        <v>67</v>
      </c>
      <c r="D6" s="24" t="s">
        <v>300</v>
      </c>
      <c r="E6" s="24" t="s">
        <v>68</v>
      </c>
      <c r="F6" s="24" t="s">
        <v>69</v>
      </c>
      <c r="G6" s="24" t="s">
        <v>70</v>
      </c>
      <c r="H6" s="24" t="s">
        <v>71</v>
      </c>
    </row>
    <row r="7" spans="1:8" ht="60" customHeight="1" x14ac:dyDescent="0.3">
      <c r="A7" s="23" t="s">
        <v>72</v>
      </c>
      <c r="B7" s="23" t="s">
        <v>73</v>
      </c>
      <c r="C7" s="23" t="s">
        <v>74</v>
      </c>
      <c r="D7" s="23" t="s">
        <v>75</v>
      </c>
      <c r="E7" s="23" t="s">
        <v>76</v>
      </c>
      <c r="F7" s="23" t="s">
        <v>77</v>
      </c>
      <c r="G7" s="23" t="s">
        <v>78</v>
      </c>
      <c r="H7" s="23" t="s">
        <v>64</v>
      </c>
    </row>
    <row r="8" spans="1:8" ht="60" customHeight="1" x14ac:dyDescent="0.3">
      <c r="A8" s="24" t="s">
        <v>79</v>
      </c>
      <c r="B8" s="24" t="s">
        <v>80</v>
      </c>
      <c r="C8" s="24" t="s">
        <v>81</v>
      </c>
      <c r="D8" s="24" t="s">
        <v>82</v>
      </c>
      <c r="E8" s="24" t="s">
        <v>83</v>
      </c>
      <c r="F8" s="24" t="s">
        <v>84</v>
      </c>
      <c r="G8" s="24" t="s">
        <v>63</v>
      </c>
      <c r="H8" s="24" t="s">
        <v>85</v>
      </c>
    </row>
    <row r="9" spans="1:8" ht="60" customHeight="1" x14ac:dyDescent="0.3">
      <c r="A9" s="23" t="s">
        <v>86</v>
      </c>
      <c r="B9" s="23" t="s">
        <v>87</v>
      </c>
      <c r="C9" s="23" t="s">
        <v>88</v>
      </c>
      <c r="D9" s="23" t="s">
        <v>89</v>
      </c>
      <c r="E9" s="23" t="s">
        <v>301</v>
      </c>
      <c r="F9" s="23" t="s">
        <v>90</v>
      </c>
      <c r="G9" s="23" t="s">
        <v>91</v>
      </c>
      <c r="H9" s="23" t="s">
        <v>64</v>
      </c>
    </row>
    <row r="11" spans="1:8" ht="21.75" customHeight="1" x14ac:dyDescent="0.3">
      <c r="A11" s="50" t="s">
        <v>302</v>
      </c>
      <c r="B11" s="50"/>
      <c r="C11" s="50"/>
      <c r="D11" s="50"/>
      <c r="E11" s="50"/>
      <c r="F11" s="50"/>
      <c r="G11" s="50"/>
      <c r="H11" s="50"/>
    </row>
    <row r="12" spans="1:8" ht="39.6" x14ac:dyDescent="0.3">
      <c r="A12" s="14" t="s">
        <v>50</v>
      </c>
      <c r="B12" s="14" t="s">
        <v>51</v>
      </c>
      <c r="C12" s="14" t="s">
        <v>92</v>
      </c>
      <c r="D12" s="14" t="s">
        <v>93</v>
      </c>
      <c r="E12" s="14" t="s">
        <v>54</v>
      </c>
      <c r="F12" s="14" t="s">
        <v>94</v>
      </c>
      <c r="G12" s="14" t="s">
        <v>95</v>
      </c>
      <c r="H12" s="14" t="s">
        <v>57</v>
      </c>
    </row>
    <row r="13" spans="1:8" ht="60" customHeight="1" x14ac:dyDescent="0.3">
      <c r="A13" s="23" t="s">
        <v>96</v>
      </c>
      <c r="B13" s="23" t="s">
        <v>97</v>
      </c>
      <c r="C13" s="23" t="s">
        <v>98</v>
      </c>
      <c r="D13" s="23" t="s">
        <v>303</v>
      </c>
      <c r="E13" s="23" t="s">
        <v>99</v>
      </c>
      <c r="F13" s="23" t="s">
        <v>100</v>
      </c>
      <c r="G13" s="23" t="s">
        <v>101</v>
      </c>
      <c r="H13" s="23" t="s">
        <v>64</v>
      </c>
    </row>
    <row r="14" spans="1:8" ht="60" customHeight="1" x14ac:dyDescent="0.3">
      <c r="A14" s="24" t="s">
        <v>102</v>
      </c>
      <c r="B14" s="24" t="s">
        <v>103</v>
      </c>
      <c r="C14" s="24" t="s">
        <v>104</v>
      </c>
      <c r="D14" s="24" t="s">
        <v>105</v>
      </c>
      <c r="E14" s="24" t="s">
        <v>106</v>
      </c>
      <c r="F14" s="24" t="s">
        <v>107</v>
      </c>
      <c r="G14" s="24" t="s">
        <v>108</v>
      </c>
      <c r="H14" s="24" t="s">
        <v>64</v>
      </c>
    </row>
    <row r="15" spans="1:8" ht="60" customHeight="1" x14ac:dyDescent="0.3">
      <c r="A15" s="23" t="s">
        <v>109</v>
      </c>
      <c r="B15" s="23" t="s">
        <v>110</v>
      </c>
      <c r="C15" s="23" t="s">
        <v>111</v>
      </c>
      <c r="D15" s="23" t="s">
        <v>304</v>
      </c>
      <c r="E15" s="23" t="s">
        <v>112</v>
      </c>
      <c r="F15" s="23" t="s">
        <v>113</v>
      </c>
      <c r="G15" s="23" t="s">
        <v>114</v>
      </c>
      <c r="H15" s="23" t="s">
        <v>71</v>
      </c>
    </row>
    <row r="16" spans="1:8" ht="60" customHeight="1" x14ac:dyDescent="0.3">
      <c r="A16" s="24" t="s">
        <v>115</v>
      </c>
      <c r="B16" s="24" t="s">
        <v>116</v>
      </c>
      <c r="C16" s="24" t="s">
        <v>305</v>
      </c>
      <c r="D16" s="24" t="s">
        <v>117</v>
      </c>
      <c r="E16" s="24" t="s">
        <v>118</v>
      </c>
      <c r="F16" s="24" t="s">
        <v>119</v>
      </c>
      <c r="G16" s="24" t="s">
        <v>120</v>
      </c>
      <c r="H16" s="24" t="s">
        <v>64</v>
      </c>
    </row>
    <row r="17" spans="1:8" ht="39.75" customHeight="1" x14ac:dyDescent="0.3">
      <c r="A17" s="51" t="s">
        <v>306</v>
      </c>
      <c r="B17" s="51"/>
      <c r="C17" s="51"/>
      <c r="D17" s="51"/>
      <c r="E17" s="51"/>
      <c r="F17" s="51"/>
      <c r="G17" s="51"/>
      <c r="H17" s="51"/>
    </row>
  </sheetData>
  <mergeCells count="5">
    <mergeCell ref="A1:H1"/>
    <mergeCell ref="A2:H2"/>
    <mergeCell ref="A3:H3"/>
    <mergeCell ref="A11:H11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O22"/>
  <sheetViews>
    <sheetView zoomScaleNormal="100" workbookViewId="0">
      <pane ySplit="3" topLeftCell="A4" activePane="bottomLeft" state="frozen"/>
      <selection pane="bottomLeft" activeCell="H12" sqref="H12"/>
    </sheetView>
  </sheetViews>
  <sheetFormatPr defaultColWidth="8.6640625" defaultRowHeight="14.4" x14ac:dyDescent="0.3"/>
  <cols>
    <col min="1" max="1" width="22" customWidth="1"/>
    <col min="2" max="3" width="14" customWidth="1"/>
    <col min="4" max="4" width="24" customWidth="1"/>
    <col min="5" max="5" width="10" customWidth="1"/>
    <col min="6" max="7" width="14" customWidth="1"/>
    <col min="8" max="8" width="10" customWidth="1"/>
    <col min="9" max="9" width="12" customWidth="1"/>
    <col min="10" max="10" width="16" customWidth="1"/>
    <col min="11" max="11" width="10" customWidth="1"/>
    <col min="12" max="12" width="12" customWidth="1"/>
    <col min="13" max="13" width="20" customWidth="1"/>
    <col min="14" max="14" width="16" customWidth="1"/>
    <col min="15" max="15" width="18" customWidth="1"/>
  </cols>
  <sheetData>
    <row r="1" spans="1:15" ht="30" customHeight="1" x14ac:dyDescent="0.3">
      <c r="A1" s="47" t="s">
        <v>307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3.5" customHeight="1" x14ac:dyDescent="0.3">
      <c r="A2" s="48" t="s">
        <v>121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39.6" x14ac:dyDescent="0.3">
      <c r="A3" s="14" t="s">
        <v>15</v>
      </c>
      <c r="B3" s="14" t="s">
        <v>122</v>
      </c>
      <c r="C3" s="14" t="s">
        <v>123</v>
      </c>
      <c r="D3" s="14" t="s">
        <v>2</v>
      </c>
      <c r="E3" s="14" t="s">
        <v>3</v>
      </c>
      <c r="F3" s="14" t="s">
        <v>124</v>
      </c>
      <c r="G3" s="14" t="s">
        <v>125</v>
      </c>
      <c r="H3" s="14" t="s">
        <v>126</v>
      </c>
      <c r="I3" s="14" t="s">
        <v>18</v>
      </c>
      <c r="J3" s="14" t="s">
        <v>127</v>
      </c>
      <c r="K3" s="14" t="s">
        <v>20</v>
      </c>
      <c r="L3" s="14" t="s">
        <v>128</v>
      </c>
      <c r="M3" s="14" t="s">
        <v>129</v>
      </c>
      <c r="N3" s="14" t="s">
        <v>19</v>
      </c>
      <c r="O3" s="14" t="s">
        <v>130</v>
      </c>
    </row>
    <row r="4" spans="1:15" ht="18" customHeight="1" x14ac:dyDescent="0.3">
      <c r="A4" s="15" t="s">
        <v>351</v>
      </c>
      <c r="B4" s="15" t="s">
        <v>349</v>
      </c>
      <c r="C4" s="15" t="s">
        <v>350</v>
      </c>
      <c r="D4" s="15" t="s">
        <v>22</v>
      </c>
      <c r="E4" s="15" t="s">
        <v>23</v>
      </c>
      <c r="F4" s="16">
        <v>46049</v>
      </c>
      <c r="G4" s="16">
        <v>46050</v>
      </c>
      <c r="H4" s="15">
        <f t="shared" ref="H4:H15" si="0">IF(AND(F4&lt;&gt;"",G4&lt;&gt;""),DATEDIF(F4,G4,"d"),"")</f>
        <v>1</v>
      </c>
      <c r="I4" s="17" t="s">
        <v>28</v>
      </c>
      <c r="J4" s="16">
        <v>46056</v>
      </c>
      <c r="K4" s="15" t="s">
        <v>29</v>
      </c>
      <c r="L4" s="15" t="s">
        <v>29</v>
      </c>
      <c r="M4" s="15"/>
      <c r="N4" s="16">
        <v>46081</v>
      </c>
      <c r="O4" s="16">
        <v>11351</v>
      </c>
    </row>
    <row r="5" spans="1:15" ht="18" customHeight="1" x14ac:dyDescent="0.3">
      <c r="A5" s="18" t="s">
        <v>354</v>
      </c>
      <c r="B5" s="18" t="s">
        <v>352</v>
      </c>
      <c r="C5" s="18" t="s">
        <v>353</v>
      </c>
      <c r="D5" s="18" t="s">
        <v>30</v>
      </c>
      <c r="E5" s="18" t="s">
        <v>23</v>
      </c>
      <c r="F5" s="19">
        <v>46056</v>
      </c>
      <c r="G5" s="19">
        <v>46057</v>
      </c>
      <c r="H5" s="18">
        <f t="shared" si="0"/>
        <v>1</v>
      </c>
      <c r="I5" s="17" t="s">
        <v>28</v>
      </c>
      <c r="J5" s="19">
        <v>46063</v>
      </c>
      <c r="K5" s="18" t="s">
        <v>29</v>
      </c>
      <c r="L5" s="18" t="s">
        <v>29</v>
      </c>
      <c r="M5" s="18"/>
      <c r="N5" s="19">
        <v>46088</v>
      </c>
      <c r="O5" s="19">
        <v>11358</v>
      </c>
    </row>
    <row r="6" spans="1:15" ht="18" customHeight="1" x14ac:dyDescent="0.3">
      <c r="A6" s="15" t="s">
        <v>357</v>
      </c>
      <c r="B6" s="15" t="s">
        <v>355</v>
      </c>
      <c r="C6" s="15" t="s">
        <v>356</v>
      </c>
      <c r="D6" s="15" t="s">
        <v>32</v>
      </c>
      <c r="E6" s="15" t="s">
        <v>33</v>
      </c>
      <c r="F6" s="16">
        <v>46057</v>
      </c>
      <c r="G6" s="16">
        <v>46058</v>
      </c>
      <c r="H6" s="15">
        <f t="shared" si="0"/>
        <v>1</v>
      </c>
      <c r="I6" s="17" t="s">
        <v>28</v>
      </c>
      <c r="J6" s="16">
        <v>46064</v>
      </c>
      <c r="K6" s="15" t="s">
        <v>26</v>
      </c>
      <c r="L6" s="15" t="s">
        <v>29</v>
      </c>
      <c r="M6" s="15"/>
      <c r="N6" s="16">
        <v>46091</v>
      </c>
      <c r="O6" s="16">
        <v>11359</v>
      </c>
    </row>
    <row r="7" spans="1:15" ht="18" customHeight="1" x14ac:dyDescent="0.3">
      <c r="A7" s="18" t="s">
        <v>363</v>
      </c>
      <c r="B7" s="18" t="s">
        <v>361</v>
      </c>
      <c r="C7" s="18" t="s">
        <v>362</v>
      </c>
      <c r="D7" s="18" t="s">
        <v>22</v>
      </c>
      <c r="E7" s="18" t="s">
        <v>23</v>
      </c>
      <c r="F7" s="19">
        <v>46066</v>
      </c>
      <c r="G7" s="19">
        <v>46067</v>
      </c>
      <c r="H7" s="18">
        <f t="shared" si="0"/>
        <v>1</v>
      </c>
      <c r="I7" s="17" t="s">
        <v>28</v>
      </c>
      <c r="J7" s="19">
        <v>46073</v>
      </c>
      <c r="K7" s="18" t="s">
        <v>29</v>
      </c>
      <c r="L7" s="18" t="s">
        <v>29</v>
      </c>
      <c r="M7" s="18"/>
      <c r="N7" s="19">
        <v>46098</v>
      </c>
      <c r="O7" s="19">
        <v>11368</v>
      </c>
    </row>
    <row r="8" spans="1:15" ht="18" customHeight="1" x14ac:dyDescent="0.3">
      <c r="A8" s="15" t="s">
        <v>366</v>
      </c>
      <c r="B8" s="15" t="s">
        <v>364</v>
      </c>
      <c r="C8" s="15" t="s">
        <v>365</v>
      </c>
      <c r="D8" s="15" t="s">
        <v>30</v>
      </c>
      <c r="E8" s="15" t="s">
        <v>23</v>
      </c>
      <c r="F8" s="16">
        <v>46063</v>
      </c>
      <c r="G8" s="16">
        <v>46064</v>
      </c>
      <c r="H8" s="15">
        <f t="shared" si="0"/>
        <v>1</v>
      </c>
      <c r="I8" s="17" t="s">
        <v>28</v>
      </c>
      <c r="J8" s="16">
        <v>46070</v>
      </c>
      <c r="K8" s="15" t="s">
        <v>26</v>
      </c>
      <c r="L8" s="15" t="s">
        <v>29</v>
      </c>
      <c r="M8" s="15"/>
      <c r="N8" s="16">
        <v>46096</v>
      </c>
      <c r="O8" s="16">
        <v>11365</v>
      </c>
    </row>
    <row r="9" spans="1:15" ht="18" customHeight="1" x14ac:dyDescent="0.3">
      <c r="A9" s="18" t="s">
        <v>369</v>
      </c>
      <c r="B9" s="18" t="s">
        <v>367</v>
      </c>
      <c r="C9" s="18" t="s">
        <v>368</v>
      </c>
      <c r="D9" s="18" t="s">
        <v>35</v>
      </c>
      <c r="E9" s="18" t="s">
        <v>33</v>
      </c>
      <c r="F9" s="19">
        <v>46074</v>
      </c>
      <c r="G9" s="19">
        <v>46075</v>
      </c>
      <c r="H9" s="18">
        <f t="shared" si="0"/>
        <v>1</v>
      </c>
      <c r="I9" s="17" t="s">
        <v>28</v>
      </c>
      <c r="J9" s="19">
        <v>46081</v>
      </c>
      <c r="K9" s="18" t="s">
        <v>29</v>
      </c>
      <c r="L9" s="18" t="s">
        <v>29</v>
      </c>
      <c r="M9" s="18"/>
      <c r="N9" s="19">
        <v>46109</v>
      </c>
      <c r="O9" s="19">
        <v>11376</v>
      </c>
    </row>
    <row r="10" spans="1:15" ht="18" customHeight="1" x14ac:dyDescent="0.3">
      <c r="A10" s="15" t="s">
        <v>376</v>
      </c>
      <c r="B10" s="15" t="s">
        <v>374</v>
      </c>
      <c r="C10" s="15" t="s">
        <v>375</v>
      </c>
      <c r="D10" s="15" t="s">
        <v>30</v>
      </c>
      <c r="E10" s="15" t="s">
        <v>23</v>
      </c>
      <c r="F10" s="16">
        <v>46087</v>
      </c>
      <c r="G10" s="16">
        <v>46088</v>
      </c>
      <c r="H10" s="15">
        <f t="shared" si="0"/>
        <v>1</v>
      </c>
      <c r="I10" s="17" t="s">
        <v>28</v>
      </c>
      <c r="J10" s="16">
        <v>46095</v>
      </c>
      <c r="K10" s="15" t="s">
        <v>29</v>
      </c>
      <c r="L10" s="15" t="s">
        <v>29</v>
      </c>
      <c r="M10" s="15"/>
      <c r="N10" s="16">
        <v>46122</v>
      </c>
      <c r="O10" s="16">
        <v>11389</v>
      </c>
    </row>
    <row r="11" spans="1:15" ht="18" customHeight="1" x14ac:dyDescent="0.3">
      <c r="A11" s="18" t="s">
        <v>381</v>
      </c>
      <c r="B11" s="18" t="s">
        <v>379</v>
      </c>
      <c r="C11" s="18" t="s">
        <v>380</v>
      </c>
      <c r="D11" s="18" t="s">
        <v>32</v>
      </c>
      <c r="E11" s="18" t="s">
        <v>33</v>
      </c>
      <c r="F11" s="19">
        <v>46095</v>
      </c>
      <c r="G11" s="19">
        <v>46096</v>
      </c>
      <c r="H11" s="18">
        <f t="shared" si="0"/>
        <v>1</v>
      </c>
      <c r="I11" s="17" t="s">
        <v>28</v>
      </c>
      <c r="J11" s="19">
        <v>46103</v>
      </c>
      <c r="K11" s="18" t="s">
        <v>29</v>
      </c>
      <c r="L11" s="18" t="s">
        <v>29</v>
      </c>
      <c r="M11" s="18"/>
      <c r="N11" s="19">
        <v>46130</v>
      </c>
      <c r="O11" s="19">
        <v>11397</v>
      </c>
    </row>
    <row r="12" spans="1:15" ht="22.8" x14ac:dyDescent="0.3">
      <c r="A12" s="20" t="s">
        <v>386</v>
      </c>
      <c r="B12" s="20" t="s">
        <v>383</v>
      </c>
      <c r="C12" s="20" t="s">
        <v>385</v>
      </c>
      <c r="D12" s="20" t="s">
        <v>22</v>
      </c>
      <c r="E12" s="20" t="s">
        <v>23</v>
      </c>
      <c r="F12" s="28">
        <v>46101</v>
      </c>
      <c r="G12" s="28">
        <v>46102</v>
      </c>
      <c r="H12" s="20">
        <f t="shared" si="0"/>
        <v>1</v>
      </c>
      <c r="I12" s="20" t="s">
        <v>28</v>
      </c>
      <c r="J12" s="28">
        <v>46109</v>
      </c>
      <c r="K12" s="20" t="s">
        <v>29</v>
      </c>
      <c r="L12" s="20" t="s">
        <v>26</v>
      </c>
      <c r="M12" s="20" t="s">
        <v>351</v>
      </c>
      <c r="N12" s="28">
        <v>46138</v>
      </c>
      <c r="O12" s="28">
        <v>11403</v>
      </c>
    </row>
    <row r="13" spans="1:15" ht="18" customHeight="1" x14ac:dyDescent="0.3">
      <c r="A13" s="18" t="s">
        <v>389</v>
      </c>
      <c r="B13" s="18" t="s">
        <v>387</v>
      </c>
      <c r="C13" s="18" t="s">
        <v>388</v>
      </c>
      <c r="D13" s="18" t="s">
        <v>30</v>
      </c>
      <c r="E13" s="18" t="s">
        <v>23</v>
      </c>
      <c r="F13" s="19">
        <v>46107</v>
      </c>
      <c r="G13" s="19">
        <v>46107</v>
      </c>
      <c r="H13" s="18">
        <f t="shared" si="0"/>
        <v>0</v>
      </c>
      <c r="I13" s="17" t="s">
        <v>28</v>
      </c>
      <c r="J13" s="19">
        <v>46114</v>
      </c>
      <c r="K13" s="18" t="s">
        <v>29</v>
      </c>
      <c r="L13" s="18" t="s">
        <v>29</v>
      </c>
      <c r="M13" s="18"/>
      <c r="N13" s="19">
        <v>46142</v>
      </c>
      <c r="O13" s="19">
        <v>11408</v>
      </c>
    </row>
    <row r="14" spans="1:15" ht="18" customHeight="1" x14ac:dyDescent="0.3">
      <c r="A14" s="15" t="s">
        <v>394</v>
      </c>
      <c r="B14" s="15" t="s">
        <v>392</v>
      </c>
      <c r="C14" s="15" t="s">
        <v>393</v>
      </c>
      <c r="D14" s="15" t="s">
        <v>32</v>
      </c>
      <c r="E14" s="15" t="s">
        <v>33</v>
      </c>
      <c r="F14" s="16">
        <v>46113</v>
      </c>
      <c r="G14" s="16">
        <v>46114</v>
      </c>
      <c r="H14" s="15">
        <f t="shared" si="0"/>
        <v>1</v>
      </c>
      <c r="I14" s="17" t="s">
        <v>28</v>
      </c>
      <c r="J14" s="16">
        <v>46121</v>
      </c>
      <c r="K14" s="15" t="s">
        <v>29</v>
      </c>
      <c r="L14" s="15" t="s">
        <v>29</v>
      </c>
      <c r="M14" s="15"/>
      <c r="N14" s="16">
        <v>46149</v>
      </c>
      <c r="O14" s="16">
        <v>11415</v>
      </c>
    </row>
    <row r="15" spans="1:15" ht="18" customHeight="1" x14ac:dyDescent="0.3">
      <c r="A15" s="18" t="s">
        <v>400</v>
      </c>
      <c r="B15" s="18" t="s">
        <v>398</v>
      </c>
      <c r="C15" s="18" t="s">
        <v>399</v>
      </c>
      <c r="D15" s="18" t="s">
        <v>30</v>
      </c>
      <c r="E15" s="18" t="s">
        <v>23</v>
      </c>
      <c r="F15" s="19">
        <v>46122</v>
      </c>
      <c r="G15" s="19">
        <v>46123</v>
      </c>
      <c r="H15" s="18">
        <f t="shared" si="0"/>
        <v>1</v>
      </c>
      <c r="I15" s="17" t="s">
        <v>28</v>
      </c>
      <c r="J15" s="19">
        <v>46130</v>
      </c>
      <c r="K15" s="18" t="s">
        <v>29</v>
      </c>
      <c r="L15" s="18" t="s">
        <v>29</v>
      </c>
      <c r="M15" s="18"/>
      <c r="N15" s="19">
        <v>46157</v>
      </c>
      <c r="O15" s="19">
        <v>11424</v>
      </c>
    </row>
    <row r="17" spans="1:3" ht="18" customHeight="1" x14ac:dyDescent="0.3">
      <c r="A17" s="52" t="s">
        <v>131</v>
      </c>
      <c r="B17" s="52"/>
      <c r="C17" s="25"/>
    </row>
    <row r="18" spans="1:3" ht="15.75" customHeight="1" x14ac:dyDescent="0.3">
      <c r="A18" s="26" t="s">
        <v>132</v>
      </c>
      <c r="B18" s="27">
        <f>COUNTA(A4:A15)</f>
        <v>12</v>
      </c>
    </row>
    <row r="19" spans="1:3" ht="15.75" customHeight="1" x14ac:dyDescent="0.3">
      <c r="A19" s="26" t="s">
        <v>133</v>
      </c>
      <c r="B19" s="27">
        <f>COUNTIF(L4:L15,"Y")</f>
        <v>1</v>
      </c>
    </row>
    <row r="20" spans="1:3" ht="15.75" customHeight="1" x14ac:dyDescent="0.3">
      <c r="A20" s="26" t="s">
        <v>134</v>
      </c>
      <c r="B20" s="27">
        <f>COUNTIF(K4:K15,"Y")</f>
        <v>2</v>
      </c>
    </row>
    <row r="21" spans="1:3" ht="15.75" customHeight="1" x14ac:dyDescent="0.3">
      <c r="A21" s="26" t="s">
        <v>135</v>
      </c>
      <c r="B21" s="27">
        <f>COUNTIF(I4:I15,"Green")</f>
        <v>12</v>
      </c>
    </row>
    <row r="22" spans="1:3" ht="15.75" customHeight="1" x14ac:dyDescent="0.3">
      <c r="A22" s="26" t="s">
        <v>136</v>
      </c>
      <c r="B22" s="27">
        <f>IFERROR(AVERAGE(H4:H15),"N/A")</f>
        <v>0.91666666666666663</v>
      </c>
    </row>
  </sheetData>
  <mergeCells count="3">
    <mergeCell ref="A1:O1"/>
    <mergeCell ref="A2:O2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8135"/>
  </sheetPr>
  <dimension ref="A1:M50"/>
  <sheetViews>
    <sheetView zoomScaleNormal="100" workbookViewId="0">
      <selection activeCell="C25" sqref="C25"/>
    </sheetView>
  </sheetViews>
  <sheetFormatPr defaultColWidth="8.6640625" defaultRowHeight="14.4" x14ac:dyDescent="0.3"/>
  <cols>
    <col min="1" max="1" width="26" customWidth="1"/>
    <col min="2" max="2" width="14" customWidth="1"/>
    <col min="3" max="3" width="35.44140625" customWidth="1"/>
    <col min="4" max="4" width="12" customWidth="1"/>
    <col min="5" max="6" width="14" customWidth="1"/>
    <col min="7" max="7" width="11.109375" customWidth="1"/>
    <col min="8" max="8" width="36" customWidth="1"/>
    <col min="9" max="9" width="12" customWidth="1"/>
    <col min="10" max="10" width="10" customWidth="1"/>
    <col min="11" max="12" width="12" customWidth="1"/>
    <col min="13" max="13" width="14" customWidth="1"/>
  </cols>
  <sheetData>
    <row r="1" spans="1:13" ht="30" customHeight="1" x14ac:dyDescent="0.3">
      <c r="A1" s="55" t="s">
        <v>308</v>
      </c>
      <c r="B1" s="55"/>
      <c r="C1" s="55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0.399999999999999" customHeight="1" x14ac:dyDescent="0.3">
      <c r="A2" s="56" t="s">
        <v>137</v>
      </c>
      <c r="B2" s="56"/>
      <c r="C2" s="56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9.5" customHeight="1" x14ac:dyDescent="0.3">
      <c r="A3" s="50" t="s">
        <v>309</v>
      </c>
      <c r="B3" s="50"/>
      <c r="C3" s="50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8" customHeight="1" x14ac:dyDescent="0.3">
      <c r="A4" s="30" t="s">
        <v>138</v>
      </c>
      <c r="B4" s="30" t="s">
        <v>139</v>
      </c>
      <c r="C4" s="30" t="s">
        <v>140</v>
      </c>
      <c r="D4" s="29"/>
      <c r="E4" s="29"/>
      <c r="F4" s="29"/>
      <c r="G4" s="29"/>
      <c r="H4" s="29"/>
      <c r="I4" s="29"/>
      <c r="J4" s="29"/>
      <c r="K4" s="29"/>
      <c r="L4" s="29"/>
    </row>
    <row r="5" spans="1:13" ht="22.8" x14ac:dyDescent="0.3">
      <c r="A5" s="15" t="s">
        <v>141</v>
      </c>
      <c r="B5" s="31" t="s">
        <v>142</v>
      </c>
      <c r="C5" s="15" t="s">
        <v>143</v>
      </c>
      <c r="D5" s="29"/>
      <c r="E5" s="29"/>
      <c r="F5" s="29"/>
      <c r="G5" s="29"/>
      <c r="H5" s="29"/>
      <c r="I5" s="29"/>
      <c r="J5" s="29"/>
      <c r="K5" s="29"/>
      <c r="L5" s="29"/>
    </row>
    <row r="6" spans="1:13" ht="15.75" customHeight="1" x14ac:dyDescent="0.3">
      <c r="A6" s="18" t="s">
        <v>144</v>
      </c>
      <c r="B6" s="32">
        <v>160</v>
      </c>
      <c r="C6" s="18" t="s">
        <v>145</v>
      </c>
      <c r="D6" s="29"/>
      <c r="E6" s="29"/>
      <c r="F6" s="29"/>
      <c r="G6" s="29"/>
      <c r="H6" s="29"/>
      <c r="I6" s="29"/>
      <c r="J6" s="29"/>
      <c r="K6" s="29"/>
      <c r="L6" s="29"/>
    </row>
    <row r="7" spans="1:13" ht="22.8" x14ac:dyDescent="0.3">
      <c r="A7" s="15" t="s">
        <v>146</v>
      </c>
      <c r="B7" s="31">
        <v>20</v>
      </c>
      <c r="C7" s="15" t="s">
        <v>310</v>
      </c>
      <c r="D7" s="29"/>
      <c r="E7" s="29"/>
      <c r="F7" s="29"/>
      <c r="G7" s="29"/>
      <c r="H7" s="29"/>
      <c r="I7" s="29"/>
      <c r="J7" s="29"/>
      <c r="K7" s="29"/>
      <c r="L7" s="29"/>
    </row>
    <row r="8" spans="1:13" ht="15.75" customHeight="1" x14ac:dyDescent="0.3">
      <c r="A8" s="18" t="s">
        <v>311</v>
      </c>
      <c r="B8" s="32">
        <v>80</v>
      </c>
      <c r="C8" s="18" t="s">
        <v>147</v>
      </c>
      <c r="D8" s="29"/>
      <c r="E8" s="29"/>
      <c r="F8" s="29"/>
      <c r="G8" s="29"/>
      <c r="H8" s="29"/>
      <c r="I8" s="29"/>
      <c r="J8" s="29"/>
      <c r="K8" s="29"/>
      <c r="L8" s="29"/>
    </row>
    <row r="9" spans="1:13" ht="15.75" customHeight="1" x14ac:dyDescent="0.3">
      <c r="A9" s="15" t="s">
        <v>312</v>
      </c>
      <c r="B9" s="31">
        <v>100</v>
      </c>
      <c r="C9" s="15" t="s">
        <v>147</v>
      </c>
      <c r="D9" s="29"/>
      <c r="E9" s="29"/>
      <c r="F9" s="29"/>
      <c r="G9" s="29"/>
      <c r="H9" s="29"/>
      <c r="I9" s="29"/>
      <c r="J9" s="29"/>
      <c r="K9" s="29"/>
      <c r="L9" s="29"/>
    </row>
    <row r="10" spans="1:13" ht="15.75" customHeight="1" x14ac:dyDescent="0.3">
      <c r="A10" s="18" t="s">
        <v>313</v>
      </c>
      <c r="B10" s="32">
        <v>120</v>
      </c>
      <c r="C10" s="18" t="s">
        <v>314</v>
      </c>
      <c r="D10" s="29"/>
      <c r="E10" s="29"/>
      <c r="F10" s="29"/>
      <c r="G10" s="29"/>
      <c r="H10" s="29"/>
      <c r="I10" s="29"/>
      <c r="J10" s="29"/>
      <c r="K10" s="29"/>
      <c r="L10" s="29"/>
    </row>
    <row r="11" spans="1:13" ht="22.8" x14ac:dyDescent="0.3">
      <c r="A11" s="15" t="s">
        <v>148</v>
      </c>
      <c r="B11" s="31">
        <v>0.75</v>
      </c>
      <c r="C11" s="15" t="s">
        <v>315</v>
      </c>
      <c r="D11" s="29"/>
      <c r="E11" s="29"/>
      <c r="F11" s="29"/>
      <c r="G11" s="29"/>
      <c r="H11" s="29"/>
      <c r="I11" s="29"/>
      <c r="J11" s="29"/>
      <c r="K11" s="29"/>
      <c r="L11" s="29"/>
    </row>
    <row r="12" spans="1:13" ht="22.8" x14ac:dyDescent="0.3">
      <c r="A12" s="18" t="s">
        <v>149</v>
      </c>
      <c r="B12" s="32">
        <v>0.3</v>
      </c>
      <c r="C12" s="18" t="s">
        <v>316</v>
      </c>
      <c r="D12" s="29"/>
      <c r="E12" s="29"/>
      <c r="F12" s="29"/>
      <c r="G12" s="29"/>
      <c r="H12" s="29"/>
      <c r="I12" s="29"/>
      <c r="J12" s="29"/>
      <c r="K12" s="29"/>
      <c r="L12" s="29"/>
    </row>
    <row r="13" spans="1:13" ht="22.8" x14ac:dyDescent="0.3">
      <c r="A13" s="15" t="s">
        <v>150</v>
      </c>
      <c r="B13" s="33">
        <v>0.18</v>
      </c>
      <c r="C13" s="15" t="s">
        <v>151</v>
      </c>
      <c r="D13" s="29"/>
      <c r="E13" s="29"/>
      <c r="F13" s="29"/>
      <c r="G13" s="29"/>
      <c r="H13" s="29"/>
      <c r="I13" s="29"/>
      <c r="J13" s="29"/>
      <c r="K13" s="29"/>
      <c r="L13" s="29"/>
    </row>
    <row r="14" spans="1:13" ht="22.8" x14ac:dyDescent="0.3">
      <c r="A14" s="18" t="s">
        <v>152</v>
      </c>
      <c r="B14" s="32">
        <v>6</v>
      </c>
      <c r="C14" s="18" t="s">
        <v>317</v>
      </c>
      <c r="D14" s="29"/>
      <c r="E14" s="29"/>
      <c r="F14" s="29"/>
      <c r="G14" s="29"/>
      <c r="H14" s="29"/>
      <c r="I14" s="29"/>
      <c r="J14" s="29"/>
      <c r="K14" s="29"/>
      <c r="L14" s="29"/>
    </row>
    <row r="15" spans="1:13" ht="22.8" x14ac:dyDescent="0.3">
      <c r="A15" s="15" t="s">
        <v>153</v>
      </c>
      <c r="B15" s="31">
        <v>4</v>
      </c>
      <c r="C15" s="15" t="s">
        <v>318</v>
      </c>
      <c r="D15" s="29"/>
      <c r="E15" s="29"/>
      <c r="F15" s="29"/>
      <c r="G15" s="29"/>
      <c r="H15" s="29"/>
      <c r="I15" s="29"/>
      <c r="J15" s="29"/>
      <c r="K15" s="29"/>
      <c r="L15" s="29"/>
    </row>
    <row r="16" spans="1:13" ht="22.8" x14ac:dyDescent="0.3">
      <c r="A16" s="18" t="s">
        <v>154</v>
      </c>
      <c r="B16" s="32">
        <v>1.5</v>
      </c>
      <c r="C16" s="18" t="s">
        <v>319</v>
      </c>
      <c r="D16" s="29"/>
      <c r="E16" s="29"/>
      <c r="F16" s="29"/>
      <c r="G16" s="29"/>
      <c r="H16" s="29"/>
      <c r="I16" s="29"/>
      <c r="J16" s="29"/>
      <c r="K16" s="29"/>
      <c r="L16" s="29"/>
    </row>
    <row r="17" spans="1:13" ht="22.8" x14ac:dyDescent="0.3">
      <c r="A17" s="15" t="s">
        <v>155</v>
      </c>
      <c r="B17" s="31">
        <v>2</v>
      </c>
      <c r="C17" s="15" t="s">
        <v>320</v>
      </c>
      <c r="D17" s="29"/>
      <c r="E17" s="29"/>
      <c r="F17" s="29"/>
      <c r="G17" s="29"/>
      <c r="H17" s="29"/>
      <c r="I17" s="29"/>
      <c r="J17" s="29"/>
      <c r="K17" s="29"/>
      <c r="L17" s="29"/>
    </row>
    <row r="18" spans="1:13" ht="22.8" x14ac:dyDescent="0.3">
      <c r="A18" s="18" t="s">
        <v>156</v>
      </c>
      <c r="B18" s="32">
        <v>0.75</v>
      </c>
      <c r="C18" s="18" t="s">
        <v>321</v>
      </c>
      <c r="D18" s="29"/>
      <c r="E18" s="29"/>
      <c r="F18" s="29"/>
      <c r="G18" s="29"/>
      <c r="H18" s="29"/>
      <c r="I18" s="29"/>
      <c r="J18" s="29"/>
      <c r="K18" s="29"/>
      <c r="L18" s="29"/>
    </row>
    <row r="19" spans="1:13" ht="22.8" x14ac:dyDescent="0.3">
      <c r="A19" s="15" t="s">
        <v>157</v>
      </c>
      <c r="B19" s="33">
        <v>0.65</v>
      </c>
      <c r="C19" s="15" t="s">
        <v>322</v>
      </c>
      <c r="D19" s="29"/>
      <c r="E19" s="29"/>
      <c r="F19" s="29"/>
      <c r="G19" s="29"/>
      <c r="H19" s="29"/>
      <c r="I19" s="29"/>
      <c r="J19" s="29"/>
      <c r="K19" s="29"/>
      <c r="L19" s="29"/>
    </row>
    <row r="20" spans="1:13" ht="22.8" x14ac:dyDescent="0.3">
      <c r="A20" s="18" t="s">
        <v>158</v>
      </c>
      <c r="B20" s="32">
        <v>0.5</v>
      </c>
      <c r="C20" s="18" t="s">
        <v>323</v>
      </c>
      <c r="D20" s="29"/>
      <c r="E20" s="29"/>
      <c r="F20" s="29"/>
      <c r="G20" s="29"/>
      <c r="H20" s="29"/>
      <c r="I20" s="29"/>
      <c r="J20" s="29"/>
      <c r="K20" s="29"/>
      <c r="L20" s="29"/>
    </row>
    <row r="21" spans="1:13" ht="22.8" x14ac:dyDescent="0.3">
      <c r="A21" s="15" t="s">
        <v>159</v>
      </c>
      <c r="B21" s="31">
        <v>105</v>
      </c>
      <c r="C21" s="15" t="s">
        <v>324</v>
      </c>
      <c r="D21" s="29"/>
      <c r="E21" s="29"/>
      <c r="F21" s="29"/>
      <c r="G21" s="29"/>
      <c r="H21" s="29"/>
      <c r="I21" s="29"/>
      <c r="J21" s="29"/>
      <c r="K21" s="29"/>
      <c r="L21" s="29"/>
    </row>
    <row r="24" spans="1:13" ht="19.5" customHeight="1" x14ac:dyDescent="0.3">
      <c r="A24" s="50" t="s">
        <v>325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 spans="1:13" ht="39.6" x14ac:dyDescent="0.3">
      <c r="A25" s="14" t="s">
        <v>160</v>
      </c>
      <c r="B25" s="14" t="s">
        <v>161</v>
      </c>
      <c r="C25" s="14" t="s">
        <v>162</v>
      </c>
      <c r="D25" s="14" t="s">
        <v>163</v>
      </c>
      <c r="E25" s="14" t="s">
        <v>164</v>
      </c>
      <c r="F25" s="14" t="s">
        <v>165</v>
      </c>
      <c r="G25" s="14" t="s">
        <v>166</v>
      </c>
      <c r="H25" s="14" t="s">
        <v>167</v>
      </c>
      <c r="I25" s="14" t="s">
        <v>168</v>
      </c>
      <c r="J25" s="14" t="s">
        <v>169</v>
      </c>
      <c r="K25" s="14" t="s">
        <v>170</v>
      </c>
      <c r="L25" s="14" t="s">
        <v>171</v>
      </c>
      <c r="M25" s="14" t="s">
        <v>172</v>
      </c>
    </row>
    <row r="26" spans="1:13" ht="15.75" customHeight="1" x14ac:dyDescent="0.3">
      <c r="A26" s="44">
        <v>46023</v>
      </c>
      <c r="B26" s="15">
        <v>82</v>
      </c>
      <c r="C26" s="15">
        <v>61.5</v>
      </c>
      <c r="D26" s="15">
        <v>15</v>
      </c>
      <c r="E26" s="15">
        <v>90</v>
      </c>
      <c r="F26" s="15">
        <v>10</v>
      </c>
      <c r="G26" s="15">
        <v>22.5</v>
      </c>
      <c r="H26" s="15">
        <v>20</v>
      </c>
      <c r="I26" s="15">
        <v>5</v>
      </c>
      <c r="J26" s="15">
        <v>176.5</v>
      </c>
      <c r="K26" s="15">
        <v>320</v>
      </c>
      <c r="L26" s="15">
        <v>143.5</v>
      </c>
      <c r="M26" s="17" t="s">
        <v>173</v>
      </c>
    </row>
    <row r="27" spans="1:13" ht="15.75" customHeight="1" x14ac:dyDescent="0.3">
      <c r="A27" s="45">
        <v>46054</v>
      </c>
      <c r="B27" s="18">
        <v>88</v>
      </c>
      <c r="C27" s="18">
        <v>66</v>
      </c>
      <c r="D27" s="18">
        <v>16</v>
      </c>
      <c r="E27" s="18">
        <v>96</v>
      </c>
      <c r="F27" s="18">
        <v>10</v>
      </c>
      <c r="G27" s="18">
        <v>24</v>
      </c>
      <c r="H27" s="18">
        <v>20</v>
      </c>
      <c r="I27" s="18">
        <v>5</v>
      </c>
      <c r="J27" s="18">
        <v>187</v>
      </c>
      <c r="K27" s="18">
        <v>320</v>
      </c>
      <c r="L27" s="18">
        <v>133</v>
      </c>
      <c r="M27" s="17" t="s">
        <v>173</v>
      </c>
    </row>
    <row r="28" spans="1:13" ht="15.75" customHeight="1" x14ac:dyDescent="0.3">
      <c r="A28" s="44">
        <v>46082</v>
      </c>
      <c r="B28" s="15">
        <v>95</v>
      </c>
      <c r="C28" s="15">
        <v>71.2</v>
      </c>
      <c r="D28" s="15">
        <v>17</v>
      </c>
      <c r="E28" s="15">
        <v>102</v>
      </c>
      <c r="F28" s="15">
        <v>11</v>
      </c>
      <c r="G28" s="15">
        <v>26.5</v>
      </c>
      <c r="H28" s="15">
        <v>22</v>
      </c>
      <c r="I28" s="15">
        <v>5.5</v>
      </c>
      <c r="J28" s="15">
        <v>200.7</v>
      </c>
      <c r="K28" s="15">
        <v>320</v>
      </c>
      <c r="L28" s="15">
        <v>119.3</v>
      </c>
      <c r="M28" s="17" t="s">
        <v>173</v>
      </c>
    </row>
    <row r="29" spans="1:13" ht="15.75" customHeight="1" x14ac:dyDescent="0.3">
      <c r="A29" s="45">
        <v>46113</v>
      </c>
      <c r="B29" s="18">
        <v>100</v>
      </c>
      <c r="C29" s="18">
        <v>75</v>
      </c>
      <c r="D29" s="18">
        <v>18</v>
      </c>
      <c r="E29" s="18">
        <v>108</v>
      </c>
      <c r="F29" s="18">
        <v>12</v>
      </c>
      <c r="G29" s="18">
        <v>27</v>
      </c>
      <c r="H29" s="18">
        <v>24</v>
      </c>
      <c r="I29" s="18">
        <v>6</v>
      </c>
      <c r="J29" s="18">
        <v>213</v>
      </c>
      <c r="K29" s="18">
        <v>320</v>
      </c>
      <c r="L29" s="18">
        <v>107</v>
      </c>
      <c r="M29" s="17" t="s">
        <v>173</v>
      </c>
    </row>
    <row r="30" spans="1:13" ht="15.75" customHeight="1" x14ac:dyDescent="0.3">
      <c r="A30" s="44">
        <v>46143</v>
      </c>
      <c r="B30" s="15">
        <v>103</v>
      </c>
      <c r="C30" s="15">
        <v>77.2</v>
      </c>
      <c r="D30" s="15">
        <v>19</v>
      </c>
      <c r="E30" s="15">
        <v>114</v>
      </c>
      <c r="F30" s="15">
        <v>12</v>
      </c>
      <c r="G30" s="15">
        <v>28.5</v>
      </c>
      <c r="H30" s="15">
        <v>24</v>
      </c>
      <c r="I30" s="15">
        <v>6</v>
      </c>
      <c r="J30" s="15">
        <v>221.2</v>
      </c>
      <c r="K30" s="15">
        <v>320</v>
      </c>
      <c r="L30" s="15">
        <v>98.8</v>
      </c>
      <c r="M30" s="17" t="s">
        <v>173</v>
      </c>
    </row>
    <row r="31" spans="1:13" ht="15.75" customHeight="1" x14ac:dyDescent="0.3">
      <c r="A31" s="45">
        <v>46174</v>
      </c>
      <c r="B31" s="18">
        <v>98</v>
      </c>
      <c r="C31" s="18">
        <v>73.5</v>
      </c>
      <c r="D31" s="18">
        <v>18</v>
      </c>
      <c r="E31" s="18">
        <v>108</v>
      </c>
      <c r="F31" s="18">
        <v>12</v>
      </c>
      <c r="G31" s="18">
        <v>27</v>
      </c>
      <c r="H31" s="18">
        <v>24</v>
      </c>
      <c r="I31" s="18">
        <v>6</v>
      </c>
      <c r="J31" s="18">
        <v>211.5</v>
      </c>
      <c r="K31" s="18">
        <v>320</v>
      </c>
      <c r="L31" s="18">
        <v>108.5</v>
      </c>
      <c r="M31" s="17" t="s">
        <v>173</v>
      </c>
    </row>
    <row r="32" spans="1:13" ht="15.75" customHeight="1" x14ac:dyDescent="0.3">
      <c r="A32" s="44">
        <v>46204</v>
      </c>
      <c r="B32" s="15">
        <v>105</v>
      </c>
      <c r="C32" s="15">
        <v>78.8</v>
      </c>
      <c r="D32" s="15">
        <v>19</v>
      </c>
      <c r="E32" s="15">
        <v>114</v>
      </c>
      <c r="F32" s="15">
        <v>12</v>
      </c>
      <c r="G32" s="15">
        <v>28.5</v>
      </c>
      <c r="H32" s="15">
        <v>24</v>
      </c>
      <c r="I32" s="15">
        <v>6</v>
      </c>
      <c r="J32" s="15">
        <v>222.8</v>
      </c>
      <c r="K32" s="15">
        <v>320</v>
      </c>
      <c r="L32" s="15">
        <v>97.2</v>
      </c>
      <c r="M32" s="17" t="s">
        <v>173</v>
      </c>
    </row>
    <row r="33" spans="1:13" ht="15.75" customHeight="1" x14ac:dyDescent="0.3">
      <c r="A33" s="45">
        <v>46235</v>
      </c>
      <c r="B33" s="18">
        <v>112</v>
      </c>
      <c r="C33" s="18">
        <v>84</v>
      </c>
      <c r="D33" s="18">
        <v>20</v>
      </c>
      <c r="E33" s="18">
        <v>120</v>
      </c>
      <c r="F33" s="18">
        <v>13</v>
      </c>
      <c r="G33" s="18">
        <v>30</v>
      </c>
      <c r="H33" s="18">
        <v>26</v>
      </c>
      <c r="I33" s="18">
        <v>6.5</v>
      </c>
      <c r="J33" s="18">
        <v>236.5</v>
      </c>
      <c r="K33" s="18">
        <v>320</v>
      </c>
      <c r="L33" s="18">
        <v>83.5</v>
      </c>
      <c r="M33" s="17" t="s">
        <v>173</v>
      </c>
    </row>
    <row r="34" spans="1:13" ht="15.75" customHeight="1" x14ac:dyDescent="0.3">
      <c r="A34" s="44">
        <v>46266</v>
      </c>
      <c r="B34" s="15">
        <v>118</v>
      </c>
      <c r="C34" s="15">
        <v>88.5</v>
      </c>
      <c r="D34" s="15">
        <v>21</v>
      </c>
      <c r="E34" s="15">
        <v>126</v>
      </c>
      <c r="F34" s="15">
        <v>14</v>
      </c>
      <c r="G34" s="15">
        <v>31.5</v>
      </c>
      <c r="H34" s="15">
        <v>28</v>
      </c>
      <c r="I34" s="15">
        <v>7</v>
      </c>
      <c r="J34" s="15">
        <v>249.5</v>
      </c>
      <c r="K34" s="15">
        <v>320</v>
      </c>
      <c r="L34" s="15">
        <v>70.5</v>
      </c>
      <c r="M34" s="17" t="s">
        <v>173</v>
      </c>
    </row>
    <row r="35" spans="1:13" ht="15.75" customHeight="1" x14ac:dyDescent="0.3">
      <c r="A35" s="45">
        <v>46296</v>
      </c>
      <c r="B35" s="18">
        <v>108</v>
      </c>
      <c r="C35" s="18">
        <v>81</v>
      </c>
      <c r="D35" s="18">
        <v>19</v>
      </c>
      <c r="E35" s="18">
        <v>114</v>
      </c>
      <c r="F35" s="18">
        <v>12</v>
      </c>
      <c r="G35" s="18">
        <v>28.5</v>
      </c>
      <c r="H35" s="18">
        <v>24</v>
      </c>
      <c r="I35" s="18">
        <v>6</v>
      </c>
      <c r="J35" s="18">
        <v>226</v>
      </c>
      <c r="K35" s="18">
        <v>320</v>
      </c>
      <c r="L35" s="18">
        <v>95</v>
      </c>
      <c r="M35" s="17" t="s">
        <v>173</v>
      </c>
    </row>
    <row r="36" spans="1:13" ht="15.75" customHeight="1" x14ac:dyDescent="0.3">
      <c r="A36" s="44">
        <v>46327</v>
      </c>
      <c r="B36" s="15">
        <v>95</v>
      </c>
      <c r="C36" s="15">
        <v>71.2</v>
      </c>
      <c r="D36" s="15">
        <v>17</v>
      </c>
      <c r="E36" s="15">
        <v>102</v>
      </c>
      <c r="F36" s="15">
        <v>11</v>
      </c>
      <c r="G36" s="15">
        <v>26.5</v>
      </c>
      <c r="H36" s="15">
        <v>22</v>
      </c>
      <c r="I36" s="15">
        <v>5.5</v>
      </c>
      <c r="J36" s="15">
        <v>200.7</v>
      </c>
      <c r="K36" s="15">
        <v>320</v>
      </c>
      <c r="L36" s="15">
        <v>119.3</v>
      </c>
      <c r="M36" s="17" t="s">
        <v>173</v>
      </c>
    </row>
    <row r="37" spans="1:13" ht="15.75" customHeight="1" x14ac:dyDescent="0.3">
      <c r="A37" s="45">
        <v>46357</v>
      </c>
      <c r="B37" s="18">
        <v>90</v>
      </c>
      <c r="C37" s="18">
        <v>67.5</v>
      </c>
      <c r="D37" s="18">
        <v>16</v>
      </c>
      <c r="E37" s="18">
        <v>96</v>
      </c>
      <c r="F37" s="18">
        <v>10</v>
      </c>
      <c r="G37" s="18">
        <v>24</v>
      </c>
      <c r="H37" s="18">
        <v>20</v>
      </c>
      <c r="I37" s="18">
        <v>5</v>
      </c>
      <c r="J37" s="18">
        <v>188.5</v>
      </c>
      <c r="K37" s="18">
        <v>320</v>
      </c>
      <c r="L37" s="18">
        <v>131.5</v>
      </c>
      <c r="M37" s="17" t="s">
        <v>173</v>
      </c>
    </row>
    <row r="40" spans="1:13" ht="19.5" customHeight="1" x14ac:dyDescent="0.3">
      <c r="A40" s="50" t="s">
        <v>326</v>
      </c>
      <c r="B40" s="50"/>
      <c r="C40" s="50"/>
      <c r="D40" s="50"/>
      <c r="E40" s="50"/>
      <c r="F40" s="50"/>
      <c r="G40" s="50"/>
      <c r="H40" s="50"/>
      <c r="I40" s="50"/>
      <c r="J40" s="50"/>
      <c r="K40" s="36"/>
      <c r="L40" s="36"/>
      <c r="M40" s="36"/>
    </row>
    <row r="41" spans="1:13" ht="39.6" x14ac:dyDescent="0.3">
      <c r="A41" s="14" t="s">
        <v>174</v>
      </c>
      <c r="B41" s="14" t="s">
        <v>175</v>
      </c>
      <c r="C41" s="14" t="s">
        <v>176</v>
      </c>
      <c r="D41" s="14" t="s">
        <v>177</v>
      </c>
      <c r="E41" s="14" t="s">
        <v>178</v>
      </c>
      <c r="F41" s="14" t="s">
        <v>179</v>
      </c>
      <c r="G41" s="14" t="s">
        <v>180</v>
      </c>
      <c r="H41" s="14" t="s">
        <v>181</v>
      </c>
      <c r="I41" s="14" t="s">
        <v>182</v>
      </c>
      <c r="J41" s="14" t="s">
        <v>183</v>
      </c>
    </row>
    <row r="42" spans="1:13" ht="20.399999999999999" x14ac:dyDescent="0.3">
      <c r="A42" s="23" t="s">
        <v>184</v>
      </c>
      <c r="B42" s="23" t="s">
        <v>185</v>
      </c>
      <c r="C42" s="23" t="s">
        <v>186</v>
      </c>
      <c r="D42" s="23" t="s">
        <v>187</v>
      </c>
      <c r="E42" s="23">
        <v>100</v>
      </c>
      <c r="F42" s="23">
        <f>E42*(TIMEVALUE("0:27")*24)</f>
        <v>44.999999999999993</v>
      </c>
      <c r="G42" s="37" t="s">
        <v>23</v>
      </c>
      <c r="H42" s="23" t="s">
        <v>188</v>
      </c>
      <c r="I42" s="23" t="s">
        <v>189</v>
      </c>
      <c r="J42" s="23">
        <v>1</v>
      </c>
    </row>
    <row r="43" spans="1:13" ht="30.6" x14ac:dyDescent="0.3">
      <c r="A43" s="24" t="s">
        <v>190</v>
      </c>
      <c r="B43" s="24" t="s">
        <v>191</v>
      </c>
      <c r="C43" s="24" t="s">
        <v>192</v>
      </c>
      <c r="D43" s="24" t="s">
        <v>406</v>
      </c>
      <c r="E43" s="24">
        <v>18</v>
      </c>
      <c r="F43" s="24">
        <f>E43*(TIMEVALUE("1:15")*24)</f>
        <v>22.5</v>
      </c>
      <c r="G43" s="37" t="s">
        <v>23</v>
      </c>
      <c r="H43" s="24" t="s">
        <v>193</v>
      </c>
      <c r="I43" s="24" t="s">
        <v>194</v>
      </c>
      <c r="J43" s="24">
        <v>2</v>
      </c>
    </row>
    <row r="44" spans="1:13" ht="30.6" x14ac:dyDescent="0.3">
      <c r="A44" s="23" t="s">
        <v>195</v>
      </c>
      <c r="B44" s="23" t="s">
        <v>196</v>
      </c>
      <c r="C44" s="23" t="s">
        <v>197</v>
      </c>
      <c r="D44" s="23" t="s">
        <v>406</v>
      </c>
      <c r="E44" s="23">
        <v>12</v>
      </c>
      <c r="F44" s="23">
        <f>E44*(TIMEVALUE("1:15")*24)</f>
        <v>15</v>
      </c>
      <c r="G44" s="37" t="s">
        <v>23</v>
      </c>
      <c r="H44" s="23" t="s">
        <v>198</v>
      </c>
      <c r="I44" s="23" t="s">
        <v>199</v>
      </c>
      <c r="J44" s="23">
        <v>3</v>
      </c>
    </row>
    <row r="45" spans="1:13" ht="20.399999999999999" x14ac:dyDescent="0.3">
      <c r="A45" s="24" t="s">
        <v>200</v>
      </c>
      <c r="B45" s="24" t="s">
        <v>201</v>
      </c>
      <c r="C45" s="24" t="s">
        <v>202</v>
      </c>
      <c r="D45" s="24" t="s">
        <v>203</v>
      </c>
      <c r="E45" s="24" t="s">
        <v>204</v>
      </c>
      <c r="F45" s="24">
        <v>2</v>
      </c>
      <c r="G45" s="37" t="s">
        <v>23</v>
      </c>
      <c r="H45" s="24" t="s">
        <v>205</v>
      </c>
      <c r="I45" s="24" t="s">
        <v>206</v>
      </c>
      <c r="J45" s="24">
        <v>4</v>
      </c>
    </row>
    <row r="46" spans="1:13" ht="30.6" x14ac:dyDescent="0.3">
      <c r="A46" s="23" t="s">
        <v>207</v>
      </c>
      <c r="B46" s="23" t="s">
        <v>208</v>
      </c>
      <c r="C46" s="23" t="s">
        <v>209</v>
      </c>
      <c r="D46" s="23" t="s">
        <v>210</v>
      </c>
      <c r="E46" s="23">
        <v>12</v>
      </c>
      <c r="F46" s="23">
        <f>E46*0.4</f>
        <v>4.8000000000000007</v>
      </c>
      <c r="G46" s="38" t="s">
        <v>33</v>
      </c>
      <c r="H46" s="23" t="s">
        <v>211</v>
      </c>
      <c r="I46" s="23" t="s">
        <v>212</v>
      </c>
      <c r="J46" s="23">
        <v>5</v>
      </c>
    </row>
    <row r="47" spans="1:13" ht="20.399999999999999" x14ac:dyDescent="0.3">
      <c r="A47" s="24" t="s">
        <v>213</v>
      </c>
      <c r="B47" s="24" t="s">
        <v>214</v>
      </c>
      <c r="C47" s="24" t="s">
        <v>215</v>
      </c>
      <c r="D47" s="24" t="s">
        <v>216</v>
      </c>
      <c r="E47" s="24">
        <v>1</v>
      </c>
      <c r="F47" s="24">
        <v>2.5</v>
      </c>
      <c r="G47" s="38" t="s">
        <v>33</v>
      </c>
      <c r="H47" s="24" t="s">
        <v>217</v>
      </c>
      <c r="I47" s="24" t="s">
        <v>218</v>
      </c>
      <c r="J47" s="24">
        <v>6</v>
      </c>
    </row>
    <row r="48" spans="1:13" ht="30.6" x14ac:dyDescent="0.3">
      <c r="A48" s="23" t="s">
        <v>219</v>
      </c>
      <c r="B48" s="23" t="s">
        <v>220</v>
      </c>
      <c r="C48" s="23" t="s">
        <v>221</v>
      </c>
      <c r="D48" s="23" t="s">
        <v>222</v>
      </c>
      <c r="E48" s="23" t="s">
        <v>223</v>
      </c>
      <c r="F48" s="23">
        <v>5</v>
      </c>
      <c r="G48" s="38" t="s">
        <v>33</v>
      </c>
      <c r="H48" s="23" t="s">
        <v>224</v>
      </c>
      <c r="I48" s="23" t="s">
        <v>225</v>
      </c>
      <c r="J48" s="23">
        <v>7</v>
      </c>
    </row>
    <row r="49" spans="1:10" ht="30.6" x14ac:dyDescent="0.3">
      <c r="A49" s="24" t="s">
        <v>226</v>
      </c>
      <c r="B49" s="24" t="s">
        <v>227</v>
      </c>
      <c r="C49" s="24" t="s">
        <v>407</v>
      </c>
      <c r="D49" s="24" t="s">
        <v>228</v>
      </c>
      <c r="E49" s="24">
        <v>18</v>
      </c>
      <c r="F49" s="24">
        <f>E49*0.75</f>
        <v>13.5</v>
      </c>
      <c r="G49" s="39" t="s">
        <v>38</v>
      </c>
      <c r="H49" s="24" t="s">
        <v>327</v>
      </c>
      <c r="I49" s="24" t="s">
        <v>229</v>
      </c>
      <c r="J49" s="24">
        <v>8</v>
      </c>
    </row>
    <row r="50" spans="1:10" ht="18" customHeight="1" x14ac:dyDescent="0.3">
      <c r="A50" s="53" t="s">
        <v>230</v>
      </c>
      <c r="B50" s="53"/>
      <c r="C50" s="53"/>
      <c r="D50" s="53"/>
      <c r="E50" s="53"/>
      <c r="F50" s="40">
        <f>SUM(F42:F49)</f>
        <v>110.3</v>
      </c>
      <c r="G50" s="54" t="s">
        <v>231</v>
      </c>
      <c r="H50" s="54"/>
      <c r="I50" s="54"/>
      <c r="J50" s="54"/>
    </row>
  </sheetData>
  <mergeCells count="7">
    <mergeCell ref="A50:E50"/>
    <mergeCell ref="G50:J50"/>
    <mergeCell ref="A1:C1"/>
    <mergeCell ref="A2:C2"/>
    <mergeCell ref="A3:C3"/>
    <mergeCell ref="A40:J40"/>
    <mergeCell ref="A24:M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3C0C"/>
  </sheetPr>
  <dimension ref="A1:N9"/>
  <sheetViews>
    <sheetView zoomScaleNormal="100" workbookViewId="0">
      <pane ySplit="3" topLeftCell="A4" activePane="bottomLeft" state="frozen"/>
      <selection pane="bottomLeft" activeCell="D8" sqref="D8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6" customWidth="1"/>
    <col min="4" max="4" width="18" customWidth="1"/>
    <col min="5" max="5" width="22.77734375" customWidth="1"/>
    <col min="6" max="6" width="16" customWidth="1"/>
    <col min="7" max="7" width="30" customWidth="1"/>
    <col min="8" max="8" width="14" customWidth="1"/>
    <col min="9" max="9" width="28" customWidth="1"/>
    <col min="10" max="10" width="18" customWidth="1"/>
    <col min="11" max="11" width="13" customWidth="1"/>
    <col min="12" max="12" width="18" customWidth="1"/>
    <col min="13" max="13" width="16" customWidth="1"/>
    <col min="14" max="14" width="36" customWidth="1"/>
  </cols>
  <sheetData>
    <row r="1" spans="1:14" ht="30" customHeight="1" x14ac:dyDescent="0.3">
      <c r="A1" s="55" t="s">
        <v>328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13.5" customHeight="1" x14ac:dyDescent="0.3">
      <c r="A2" s="56" t="s">
        <v>329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39.6" x14ac:dyDescent="0.3">
      <c r="A3" s="14" t="s">
        <v>232</v>
      </c>
      <c r="B3" s="14" t="s">
        <v>233</v>
      </c>
      <c r="C3" s="14" t="s">
        <v>234</v>
      </c>
      <c r="D3" s="14" t="s">
        <v>235</v>
      </c>
      <c r="E3" s="14" t="s">
        <v>236</v>
      </c>
      <c r="F3" s="14" t="s">
        <v>237</v>
      </c>
      <c r="G3" s="14" t="s">
        <v>238</v>
      </c>
      <c r="H3" s="14" t="s">
        <v>239</v>
      </c>
      <c r="I3" s="14" t="s">
        <v>240</v>
      </c>
      <c r="J3" s="14" t="s">
        <v>241</v>
      </c>
      <c r="K3" s="14" t="s">
        <v>242</v>
      </c>
      <c r="L3" s="14" t="s">
        <v>243</v>
      </c>
      <c r="M3" s="14" t="s">
        <v>244</v>
      </c>
      <c r="N3" s="14" t="s">
        <v>245</v>
      </c>
    </row>
    <row r="4" spans="1:14" ht="30.6" x14ac:dyDescent="0.3">
      <c r="A4" s="23" t="s">
        <v>408</v>
      </c>
      <c r="B4" s="42">
        <v>46054</v>
      </c>
      <c r="C4" s="23" t="s">
        <v>330</v>
      </c>
      <c r="D4" s="23" t="s">
        <v>246</v>
      </c>
      <c r="E4" s="23" t="s">
        <v>247</v>
      </c>
      <c r="F4" s="38" t="s">
        <v>248</v>
      </c>
      <c r="G4" s="23" t="s">
        <v>249</v>
      </c>
      <c r="H4" s="23" t="s">
        <v>331</v>
      </c>
      <c r="I4" s="41" t="s">
        <v>409</v>
      </c>
      <c r="J4" s="23" t="s">
        <v>366</v>
      </c>
      <c r="K4" s="42">
        <v>46063</v>
      </c>
      <c r="L4" s="23" t="s">
        <v>250</v>
      </c>
      <c r="M4" s="23" t="s">
        <v>410</v>
      </c>
      <c r="N4" s="23" t="s">
        <v>251</v>
      </c>
    </row>
    <row r="5" spans="1:14" ht="30.6" x14ac:dyDescent="0.3">
      <c r="A5" s="24" t="s">
        <v>411</v>
      </c>
      <c r="B5" s="43">
        <v>46061</v>
      </c>
      <c r="C5" s="24" t="s">
        <v>332</v>
      </c>
      <c r="D5" s="24" t="s">
        <v>252</v>
      </c>
      <c r="E5" s="24" t="s">
        <v>253</v>
      </c>
      <c r="F5" s="38" t="s">
        <v>333</v>
      </c>
      <c r="G5" s="24" t="s">
        <v>334</v>
      </c>
      <c r="H5" s="24" t="s">
        <v>335</v>
      </c>
      <c r="I5" s="41" t="s">
        <v>336</v>
      </c>
      <c r="J5" s="24" t="s">
        <v>412</v>
      </c>
      <c r="K5" s="43">
        <v>46074</v>
      </c>
      <c r="L5" s="24" t="s">
        <v>250</v>
      </c>
      <c r="M5" s="24" t="s">
        <v>29</v>
      </c>
      <c r="N5" s="24" t="s">
        <v>254</v>
      </c>
    </row>
    <row r="6" spans="1:14" ht="40.799999999999997" x14ac:dyDescent="0.3">
      <c r="A6" s="23" t="s">
        <v>413</v>
      </c>
      <c r="B6" s="42">
        <v>46068</v>
      </c>
      <c r="C6" s="23" t="s">
        <v>337</v>
      </c>
      <c r="D6" s="23" t="s">
        <v>246</v>
      </c>
      <c r="E6" s="23" t="s">
        <v>255</v>
      </c>
      <c r="F6" s="37" t="s">
        <v>338</v>
      </c>
      <c r="G6" s="23" t="s">
        <v>339</v>
      </c>
      <c r="H6" s="23" t="s">
        <v>340</v>
      </c>
      <c r="I6" s="37" t="s">
        <v>256</v>
      </c>
      <c r="J6" s="23" t="s">
        <v>36</v>
      </c>
      <c r="K6" s="42">
        <v>46071</v>
      </c>
      <c r="L6" s="23" t="s">
        <v>250</v>
      </c>
      <c r="M6" s="23" t="s">
        <v>29</v>
      </c>
      <c r="N6" s="23" t="s">
        <v>257</v>
      </c>
    </row>
    <row r="7" spans="1:14" ht="51" x14ac:dyDescent="0.3">
      <c r="A7" s="24" t="s">
        <v>414</v>
      </c>
      <c r="B7" s="43">
        <v>46093</v>
      </c>
      <c r="C7" s="24" t="s">
        <v>341</v>
      </c>
      <c r="D7" s="24" t="s">
        <v>246</v>
      </c>
      <c r="E7" s="24" t="s">
        <v>258</v>
      </c>
      <c r="F7" s="37" t="s">
        <v>338</v>
      </c>
      <c r="G7" s="24" t="s">
        <v>342</v>
      </c>
      <c r="H7" s="24" t="s">
        <v>340</v>
      </c>
      <c r="I7" s="37" t="s">
        <v>256</v>
      </c>
      <c r="J7" s="24" t="s">
        <v>36</v>
      </c>
      <c r="K7" s="43">
        <v>46095</v>
      </c>
      <c r="L7" s="24" t="s">
        <v>250</v>
      </c>
      <c r="M7" s="24" t="s">
        <v>29</v>
      </c>
      <c r="N7" s="24" t="s">
        <v>259</v>
      </c>
    </row>
    <row r="8" spans="1:14" ht="51" x14ac:dyDescent="0.3">
      <c r="A8" s="23" t="s">
        <v>415</v>
      </c>
      <c r="B8" s="42">
        <v>46103</v>
      </c>
      <c r="C8" s="23" t="s">
        <v>343</v>
      </c>
      <c r="D8" s="23" t="s">
        <v>260</v>
      </c>
      <c r="E8" s="23" t="s">
        <v>344</v>
      </c>
      <c r="F8" s="23" t="s">
        <v>345</v>
      </c>
      <c r="G8" s="23" t="s">
        <v>261</v>
      </c>
      <c r="H8" s="23" t="s">
        <v>346</v>
      </c>
      <c r="I8" s="38" t="s">
        <v>416</v>
      </c>
      <c r="J8" s="23" t="s">
        <v>262</v>
      </c>
      <c r="K8" s="42">
        <v>46113</v>
      </c>
      <c r="L8" s="23" t="s">
        <v>250</v>
      </c>
      <c r="M8" s="23" t="s">
        <v>29</v>
      </c>
      <c r="N8" s="23" t="s">
        <v>347</v>
      </c>
    </row>
    <row r="9" spans="1:14" ht="49.5" customHeight="1" x14ac:dyDescent="0.3">
      <c r="A9" s="51" t="s">
        <v>348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</sheetData>
  <mergeCells count="3">
    <mergeCell ref="A1:N1"/>
    <mergeCell ref="A2:N2"/>
    <mergeCell ref="A9:N9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441EF9-40CB-463F-AD20-AB31410A2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Alert &amp; Case Log</vt:lpstr>
      <vt:lpstr>2. Escalation Decision Matrix</vt:lpstr>
      <vt:lpstr>3. STR Filing Log</vt:lpstr>
      <vt:lpstr>4. Capacity Model</vt:lpstr>
      <vt:lpstr>5. Sanctions-STR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2026-03-09T06:40:36Z</dcterms:created>
  <dcterms:modified xsi:type="dcterms:W3CDTF">2026-03-20T10:45:45Z</dcterms:modified>
  <dc:language>en-US</dc:language>
</cp:coreProperties>
</file>